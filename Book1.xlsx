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97a183718cc049/Documents/"/>
    </mc:Choice>
  </mc:AlternateContent>
  <xr:revisionPtr revIDLastSave="0" documentId="8_{A8615231-BD62-4403-90D7-300D406BCF18}" xr6:coauthVersionLast="47" xr6:coauthVersionMax="47" xr10:uidLastSave="{00000000-0000-0000-0000-000000000000}"/>
  <bookViews>
    <workbookView xWindow="-110" yWindow="-110" windowWidth="19420" windowHeight="10420" firstSheet="2" activeTab="6" xr2:uid="{C0F36816-A1C0-47EE-90AF-6032901513A8}"/>
  </bookViews>
  <sheets>
    <sheet name="Name Ranges" sheetId="1" r:id="rId1"/>
    <sheet name="NameRanges Calculations" sheetId="2" r:id="rId2"/>
    <sheet name="Nmbr,Date,Time Formating" sheetId="3" r:id="rId3"/>
    <sheet name="Formate Cells" sheetId="4" r:id="rId4"/>
    <sheet name="Auto Format" sheetId="5" r:id="rId5"/>
    <sheet name="Find &amp; Replace" sheetId="6" r:id="rId6"/>
    <sheet name="Sheet7" sheetId="7" r:id="rId7"/>
  </sheets>
  <definedNames>
    <definedName name="All_Data">'Name Ranges'!$A$2:$E$15</definedName>
    <definedName name="Customer_Name">'Name Ranges'!$B$2:$B$15</definedName>
    <definedName name="Quantity">'Name Ranges'!$C$2:$C$15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H14" i="2"/>
  <c r="H10" i="2"/>
  <c r="H9" i="2"/>
  <c r="H7" i="2"/>
  <c r="H8" i="2"/>
  <c r="H6" i="2"/>
  <c r="H5" i="2"/>
</calcChain>
</file>

<file path=xl/sharedStrings.xml><?xml version="1.0" encoding="utf-8"?>
<sst xmlns="http://schemas.openxmlformats.org/spreadsheetml/2006/main" count="307" uniqueCount="158">
  <si>
    <t>Order #</t>
  </si>
  <si>
    <t>Customer</t>
  </si>
  <si>
    <t>Quantity</t>
  </si>
  <si>
    <t>Price Per Unit</t>
  </si>
  <si>
    <t>Total</t>
  </si>
  <si>
    <t>Average Quantity</t>
  </si>
  <si>
    <t>Staples</t>
  </si>
  <si>
    <t>No. of Orders</t>
  </si>
  <si>
    <t>WH Smith</t>
  </si>
  <si>
    <t>Minimum Sales</t>
  </si>
  <si>
    <t>The Art Supply Store</t>
  </si>
  <si>
    <t>Maximum Sales</t>
  </si>
  <si>
    <t>Brush Strokes</t>
  </si>
  <si>
    <t>Total Sales</t>
  </si>
  <si>
    <t>Crafty Business</t>
  </si>
  <si>
    <t>Pens and Things</t>
  </si>
  <si>
    <t>Color Me Silly</t>
  </si>
  <si>
    <t>Sketch &amp; Co</t>
  </si>
  <si>
    <t>The Desinger Centre</t>
  </si>
  <si>
    <t>Waterstones</t>
  </si>
  <si>
    <t>Painterly</t>
  </si>
  <si>
    <t>J Howard and Sons</t>
  </si>
  <si>
    <t>Art Attack</t>
  </si>
  <si>
    <t>Doodles</t>
  </si>
  <si>
    <t>slect any data without headers&gt; go to the address bar/ name bar&gt;rname the cells name there</t>
  </si>
  <si>
    <t>2nd Method</t>
  </si>
  <si>
    <t>1st Method</t>
  </si>
  <si>
    <t xml:space="preserve"> you will see copied data name&amp;its location &gt; click ok </t>
  </si>
  <si>
    <t xml:space="preserve">select any other column withut headers&gt;go to Formla bar&gt;Define Names&gt; </t>
  </si>
  <si>
    <t>3rd Method</t>
  </si>
  <si>
    <t>select data without headers&gt;formula bar&gt;Define names&gt;Create from selection&gt;Top rows</t>
  </si>
  <si>
    <t>4th Method</t>
  </si>
  <si>
    <t>select entire data with headers &gt;formula bar &gt;Name Manager&gt;New&gt;ok</t>
  </si>
  <si>
    <t>we can also Delete Nmae Ranges here</t>
  </si>
  <si>
    <t>No. of Customers</t>
  </si>
  <si>
    <t>minimum sales=total sales</t>
  </si>
  <si>
    <t>AVERAGE(C2:C15)</t>
  </si>
  <si>
    <t>COUNT(A2:A15)</t>
  </si>
  <si>
    <t>MIN(E2:E15)</t>
  </si>
  <si>
    <t>COUNTA(B2:B15)</t>
  </si>
  <si>
    <t>MAX(E2:E15)</t>
  </si>
  <si>
    <t>SUM(E2:E15)</t>
  </si>
  <si>
    <t>Total No. of Cusromers</t>
  </si>
  <si>
    <t>Total Quantity</t>
  </si>
  <si>
    <t>SUM(Quantity)</t>
  </si>
  <si>
    <t>COUNTA(Customer_Name)</t>
  </si>
  <si>
    <t>we can use table names as we assigned theire names in Name Ranges</t>
  </si>
  <si>
    <t>Number</t>
  </si>
  <si>
    <t>Currency</t>
  </si>
  <si>
    <t>Accounting</t>
  </si>
  <si>
    <t>Percentage</t>
  </si>
  <si>
    <t>Date</t>
  </si>
  <si>
    <t>currency=comma seperated</t>
  </si>
  <si>
    <t>Date= short date formate</t>
  </si>
  <si>
    <t>to calcuate percentages we sould arange them in points ex 0.5</t>
  </si>
  <si>
    <t>Time</t>
  </si>
  <si>
    <t>time formate also arranged accordingly</t>
  </si>
  <si>
    <t>enter 2 numbers &gt; select and drag down to flashfill cells</t>
  </si>
  <si>
    <t>Phone Number</t>
  </si>
  <si>
    <t>we can adjust the Zip code or its type in&gt;Home&gt;Number&gt;Special</t>
  </si>
  <si>
    <t>Emp Code</t>
  </si>
  <si>
    <t>Sales Executive</t>
  </si>
  <si>
    <t>Region</t>
  </si>
  <si>
    <t>Day1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</si>
  <si>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</si>
  <si>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</si>
  <si>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</si>
  <si>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</si>
  <si>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</si>
  <si>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</si>
  <si>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</si>
  <si>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</si>
  <si>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</si>
  <si>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</si>
  <si>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</si>
  <si>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</si>
  <si>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</si>
  <si>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</si>
  <si>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</si>
  <si>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</si>
  <si>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</si>
  <si>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</si>
  <si>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</si>
  <si>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</si>
  <si>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</si>
  <si>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</si>
  <si>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</si>
  <si>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</si>
  <si>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</si>
  <si>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</si>
  <si>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</si>
  <si>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</si>
  <si>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</si>
  <si>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</si>
  <si>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</si>
  <si>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</si>
  <si>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</si>
  <si>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</si>
  <si>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</si>
  <si>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</si>
  <si>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</si>
  <si>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</si>
  <si>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</si>
  <si>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</si>
  <si>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cell formaitng is about coloring texts&gt;arranging orders&gt;</t>
  </si>
  <si>
    <t>cell shortcuts&gt;naming.sizing&gt;bordering with colors</t>
  </si>
  <si>
    <t>alighnments&gt;text colors&gt;table styles&amp; so on….</t>
  </si>
  <si>
    <t>we can also remove cels lies into blank white page by slecting some cells &amp; apply white fill color</t>
  </si>
  <si>
    <t>we can warp text in order an dalso change the Orientation of text in differnet angles</t>
  </si>
  <si>
    <t>if we don’t have Auto Format option in quick access toolbar</t>
  </si>
  <si>
    <t>go to quick access toolbar you can see a small drop down click on it</t>
  </si>
  <si>
    <t>searach for it &gt; add&gt; ok</t>
  </si>
  <si>
    <t>now select all the data and go to the Auto Format option which is enabled in quick access toolbar</t>
  </si>
  <si>
    <t xml:space="preserve">select the format and values you want to see. click Ok </t>
  </si>
  <si>
    <t>Athlete Name</t>
  </si>
  <si>
    <t>Country</t>
  </si>
  <si>
    <t>Gender</t>
  </si>
  <si>
    <t>Medal</t>
  </si>
  <si>
    <t>Prize Money</t>
  </si>
  <si>
    <t>Page, Lisa</t>
  </si>
  <si>
    <t>USA</t>
  </si>
  <si>
    <t>F</t>
  </si>
  <si>
    <t>Bronze</t>
  </si>
  <si>
    <t>Taylor, Hector</t>
  </si>
  <si>
    <t>M</t>
  </si>
  <si>
    <t>Gold</t>
  </si>
  <si>
    <t>Dawson, Jonathan</t>
  </si>
  <si>
    <t>Duran, Brian</t>
  </si>
  <si>
    <t>Silver</t>
  </si>
  <si>
    <t>Weber, Larry</t>
  </si>
  <si>
    <t>UK</t>
  </si>
  <si>
    <t>Pratt, Erik</t>
  </si>
  <si>
    <t>O'Connor, Kent</t>
  </si>
  <si>
    <t>South Africa</t>
  </si>
  <si>
    <t>Spencer, Lucy</t>
  </si>
  <si>
    <t>Australia</t>
  </si>
  <si>
    <t>Wiggins, Frank</t>
  </si>
  <si>
    <t>Tanner, Claire</t>
  </si>
  <si>
    <t>Strickland, Rajean</t>
  </si>
  <si>
    <t>Chase, Susan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</si>
  <si>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</si>
  <si>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</si>
  <si>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</si>
  <si>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</si>
  <si>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</si>
  <si>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</si>
  <si>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</si>
  <si>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</si>
  <si>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</si>
  <si>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</si>
  <si>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</si>
  <si>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</si>
  <si>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Ctrl+F for Find</t>
  </si>
  <si>
    <t>Ctrl+H for Replace</t>
  </si>
  <si>
    <t>or we can go to Home&gt;Find&amp;Sorting&gt;Find,Replace manually</t>
  </si>
  <si>
    <t>India</t>
  </si>
  <si>
    <t>keep the cursor on any cell in present data&gt;go to rplace&gt;</t>
  </si>
  <si>
    <t>find a exact word or number &gt; nad replace them with appropriate word or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</si>
</sst>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(* #,##0_);_(* \(#,##0\);_(* &quot;-&quot;??_);_(@_)"/>
    <numFmt numFmtId="167" formatCode="&quot;$&quot;#,##0"/>
    <numFmt numFmtId="170" formatCode="&quot;$&quot;#,##0.00"/>
    <numFmt numFmtId="171" formatCode="_-* #,##0.00_-;\-* #,##0.00_-;_-* &quot;-&quot;??_-;_-@_-"/>
    <numFmt numFmtId="176" formatCode="[&lt;=9999999]###\-####;\(###\)\ ###\-####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1"/>
      <color indexed="18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7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5" borderId="0" xfId="0" applyFont="1" applyFill="1"/>
    <xf numFmtId="0" fontId="0" fillId="0" borderId="0" xfId="0"/>
    <xf numFmtId="18" fontId="0" fillId="0" borderId="0" xfId="0" applyNumberFormat="1"/>
    <xf numFmtId="0" fontId="3" fillId="4" borderId="1" xfId="0" applyFont="1" applyFill="1" applyBorder="1"/>
    <xf numFmtId="0" fontId="3" fillId="3" borderId="1" xfId="0" applyFont="1" applyFill="1" applyBorder="1"/>
    <xf numFmtId="0" fontId="3" fillId="3" borderId="1" xfId="0" applyNumberFormat="1" applyFont="1" applyFill="1" applyBorder="1"/>
    <xf numFmtId="18" fontId="3" fillId="3" borderId="1" xfId="0" applyNumberFormat="1" applyFont="1" applyFill="1" applyBorder="1"/>
    <xf numFmtId="165" fontId="0" fillId="0" borderId="1" xfId="1" applyNumberFormat="1" applyFont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1" xfId="2" applyNumberFormat="1" applyFont="1" applyBorder="1"/>
    <xf numFmtId="0" fontId="2" fillId="5" borderId="0" xfId="0" applyFont="1" applyFill="1"/>
    <xf numFmtId="170" fontId="0" fillId="0" borderId="1" xfId="2" applyNumberFormat="1" applyFont="1" applyBorder="1"/>
    <xf numFmtId="170" fontId="0" fillId="2" borderId="1" xfId="0" applyNumberFormat="1" applyFill="1" applyBorder="1"/>
    <xf numFmtId="165" fontId="0" fillId="0" borderId="0" xfId="0" applyNumberFormat="1"/>
    <xf numFmtId="0" fontId="3" fillId="3" borderId="0" xfId="0" applyFont="1" applyFill="1"/>
    <xf numFmtId="170" fontId="5" fillId="0" borderId="0" xfId="0" applyNumberFormat="1" applyFont="1"/>
    <xf numFmtId="170" fontId="0" fillId="0" borderId="0" xfId="0" applyNumberFormat="1"/>
    <xf numFmtId="0" fontId="6" fillId="0" borderId="0" xfId="3" applyNumberFormat="1"/>
    <xf numFmtId="14" fontId="0" fillId="0" borderId="0" xfId="0" applyNumberFormat="1"/>
    <xf numFmtId="0" fontId="0" fillId="0" borderId="0" xfId="0" applyBorder="1"/>
    <xf numFmtId="0" fontId="7" fillId="7" borderId="2" xfId="3" applyFont="1" applyFill="1" applyBorder="1"/>
    <xf numFmtId="165" fontId="6" fillId="0" borderId="0" xfId="1" applyNumberFormat="1" applyFont="1"/>
    <xf numFmtId="0" fontId="6" fillId="0" borderId="0" xfId="3" applyNumberFormat="1" applyFont="1"/>
    <xf numFmtId="0" fontId="7" fillId="7" borderId="3" xfId="3" applyFont="1" applyFill="1" applyBorder="1"/>
    <xf numFmtId="0" fontId="7" fillId="6" borderId="0" xfId="3" applyFont="1" applyFill="1" applyBorder="1"/>
    <xf numFmtId="167" fontId="6" fillId="0" borderId="0" xfId="1" applyNumberFormat="1" applyFont="1"/>
    <xf numFmtId="176" fontId="0" fillId="0" borderId="0" xfId="0" applyNumberFormat="1"/>
    <xf numFmtId="0" fontId="6" fillId="0" borderId="0" xfId="3"/>
    <xf numFmtId="0" fontId="8" fillId="8" borderId="4" xfId="0" applyFont="1" applyFill="1" applyBorder="1" applyAlignment="1">
      <alignment horizontal="center"/>
    </xf>
    <xf numFmtId="0" fontId="9" fillId="8" borderId="4" xfId="3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3" applyBorder="1" applyAlignment="1">
      <alignment horizontal="center"/>
    </xf>
    <xf numFmtId="0" fontId="3" fillId="6" borderId="0" xfId="0" applyFont="1" applyFill="1"/>
    <xf numFmtId="0" fontId="10" fillId="8" borderId="4" xfId="3" applyFont="1" applyFill="1" applyBorder="1" applyAlignment="1">
      <alignment horizontal="center"/>
    </xf>
    <xf numFmtId="0" fontId="5" fillId="6" borderId="0" xfId="0" applyFont="1" applyFill="1"/>
    <xf numFmtId="0" fontId="0" fillId="0" borderId="0" xfId="0" applyAlignment="1"/>
    <xf numFmtId="0" fontId="11" fillId="9" borderId="5" xfId="0" applyFont="1" applyFill="1" applyBorder="1" applyAlignment="1"/>
    <xf numFmtId="0" fontId="11" fillId="9" borderId="0" xfId="3" applyFont="1" applyFill="1" applyBorder="1" applyAlignment="1"/>
    <xf numFmtId="0" fontId="11" fillId="9" borderId="0" xfId="0" applyFont="1" applyFill="1" applyBorder="1" applyAlignment="1"/>
    <xf numFmtId="0" fontId="11" fillId="9" borderId="6" xfId="0" applyFont="1" applyFill="1" applyBorder="1" applyAlignment="1"/>
    <xf numFmtId="0" fontId="11" fillId="9" borderId="7" xfId="0" applyFont="1" applyFill="1" applyBorder="1" applyAlignment="1"/>
    <xf numFmtId="0" fontId="11" fillId="9" borderId="8" xfId="3" applyFont="1" applyFill="1" applyBorder="1" applyAlignment="1"/>
    <xf numFmtId="0" fontId="11" fillId="9" borderId="8" xfId="0" applyFont="1" applyFill="1" applyBorder="1" applyAlignment="1"/>
    <xf numFmtId="0" fontId="11" fillId="9" borderId="9" xfId="0" applyFont="1" applyFill="1" applyBorder="1" applyAlignment="1"/>
    <xf numFmtId="0" fontId="12" fillId="10" borderId="10" xfId="0" applyFont="1" applyFill="1" applyBorder="1" applyAlignment="1">
      <alignment horizontal="right"/>
    </xf>
    <xf numFmtId="0" fontId="12" fillId="10" borderId="11" xfId="3" applyFont="1" applyFill="1" applyBorder="1" applyAlignment="1">
      <alignment horizontal="right"/>
    </xf>
    <xf numFmtId="0" fontId="12" fillId="10" borderId="11" xfId="0" applyFont="1" applyFill="1" applyBorder="1" applyAlignment="1">
      <alignment horizontal="right"/>
    </xf>
    <xf numFmtId="0" fontId="12" fillId="10" borderId="12" xfId="0" applyFont="1" applyFill="1" applyBorder="1" applyAlignment="1">
      <alignment horizontal="right"/>
    </xf>
    <xf numFmtId="0" fontId="13" fillId="11" borderId="0" xfId="3" applyFont="1" applyFill="1" applyProtection="1"/>
    <xf numFmtId="14" fontId="13" fillId="11" borderId="0" xfId="3" applyNumberFormat="1" applyFont="1" applyFill="1" applyProtection="1"/>
    <xf numFmtId="0" fontId="6" fillId="0" borderId="0" xfId="3" applyProtection="1"/>
    <xf numFmtId="0" fontId="6" fillId="0" borderId="0" xfId="3" applyNumberFormat="1" applyProtection="1"/>
    <xf numFmtId="167" fontId="5" fillId="0" borderId="0" xfId="5" applyNumberFormat="1" applyFont="1" applyProtection="1"/>
  </cellXfs>
  <cellStyles count="8">
    <cellStyle name="Comma" xfId="1" builtinId="3"/>
    <cellStyle name="Comma 2" xfId="4" xr:uid="{957F776B-8F83-4A7D-BA7D-E50EEA312798}"/>
    <cellStyle name="Comma 2 2" xfId="7" xr:uid="{E0F7F97D-31BD-41DE-840B-7523EE015ED8}"/>
    <cellStyle name="Currency" xfId="2" builtinId="4"/>
    <cellStyle name="Currency 2" xfId="5" xr:uid="{0BDF044E-E33E-4DEB-A28F-77D98885AE9E}"/>
    <cellStyle name="Normal" xfId="0" builtinId="0"/>
    <cellStyle name="Normal 2" xfId="3" xr:uid="{C45B3C2A-681A-46EF-8198-0428D88F452B}"/>
    <cellStyle name="Normal 2 2" xfId="6" xr:uid="{BF61C04F-83F4-42F2-A8C2-D5C99C0E2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7F04-3E0D-4D55-81B8-10C93B7DE1FA}">
  <dimension ref="A1:J18"/>
  <sheetViews>
    <sheetView zoomScale="80" zoomScaleNormal="80" workbookViewId="0">
      <selection sqref="A1:G15"/>
    </sheetView>
  </sheetViews>
  <sheetFormatPr defaultRowHeight="14.5" x14ac:dyDescent="0.35"/>
  <cols>
    <col min="2" max="2" width="17.90625" bestFit="1" customWidth="1"/>
    <col min="3" max="3" width="8" bestFit="1" customWidth="1"/>
    <col min="4" max="4" width="11.90625" bestFit="1" customWidth="1"/>
    <col min="5" max="5" width="10.08984375" bestFit="1" customWidth="1"/>
    <col min="7" max="7" width="15.453125" bestFit="1" customWidth="1"/>
    <col min="10" max="10" width="13.6328125" customWidth="1"/>
  </cols>
  <sheetData>
    <row r="1" spans="1:10" x14ac:dyDescent="0.3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3"/>
      <c r="G1" s="8" t="s">
        <v>5</v>
      </c>
    </row>
    <row r="2" spans="1:10" ht="15.5" x14ac:dyDescent="0.35">
      <c r="A2" s="6">
        <v>3211</v>
      </c>
      <c r="B2" s="11" t="s">
        <v>6</v>
      </c>
      <c r="C2" s="9">
        <v>27095</v>
      </c>
      <c r="D2" s="12">
        <v>0.2</v>
      </c>
      <c r="E2" s="10">
        <v>5419</v>
      </c>
      <c r="F2" s="3"/>
      <c r="G2" s="8" t="s">
        <v>7</v>
      </c>
      <c r="J2" s="2" t="s">
        <v>26</v>
      </c>
    </row>
    <row r="3" spans="1:10" x14ac:dyDescent="0.35">
      <c r="A3" s="6">
        <v>2955</v>
      </c>
      <c r="B3" s="11" t="s">
        <v>8</v>
      </c>
      <c r="C3" s="9">
        <v>48696</v>
      </c>
      <c r="D3" s="12">
        <v>0.15</v>
      </c>
      <c r="E3" s="10">
        <v>7304.4</v>
      </c>
      <c r="F3" s="3"/>
      <c r="G3" s="8" t="s">
        <v>9</v>
      </c>
    </row>
    <row r="4" spans="1:10" x14ac:dyDescent="0.35">
      <c r="A4" s="6">
        <v>3159</v>
      </c>
      <c r="B4" s="11" t="s">
        <v>10</v>
      </c>
      <c r="C4" s="9">
        <v>29970</v>
      </c>
      <c r="D4" s="12">
        <v>0.25</v>
      </c>
      <c r="E4" s="10">
        <v>7492.5</v>
      </c>
      <c r="F4" s="3"/>
      <c r="G4" s="8" t="s">
        <v>11</v>
      </c>
      <c r="J4" t="s">
        <v>24</v>
      </c>
    </row>
    <row r="5" spans="1:10" x14ac:dyDescent="0.35">
      <c r="A5" s="6">
        <v>3004</v>
      </c>
      <c r="B5" s="11" t="s">
        <v>12</v>
      </c>
      <c r="C5" s="9">
        <v>15667</v>
      </c>
      <c r="D5" s="12">
        <v>0.2</v>
      </c>
      <c r="E5" s="10">
        <v>3133.4</v>
      </c>
      <c r="F5" s="3"/>
      <c r="G5" s="8" t="s">
        <v>13</v>
      </c>
    </row>
    <row r="6" spans="1:10" ht="15.5" x14ac:dyDescent="0.35">
      <c r="A6" s="6">
        <v>4534</v>
      </c>
      <c r="B6" s="11" t="s">
        <v>14</v>
      </c>
      <c r="C6" s="9">
        <v>46321</v>
      </c>
      <c r="D6" s="12">
        <v>0.2</v>
      </c>
      <c r="E6" s="10">
        <v>9264.2000000000007</v>
      </c>
      <c r="F6" s="3"/>
      <c r="G6" s="3"/>
      <c r="J6" s="2" t="s">
        <v>25</v>
      </c>
    </row>
    <row r="7" spans="1:10" x14ac:dyDescent="0.35">
      <c r="A7" s="6">
        <v>2220</v>
      </c>
      <c r="B7" s="11" t="s">
        <v>15</v>
      </c>
      <c r="C7" s="9">
        <v>47003</v>
      </c>
      <c r="D7" s="12">
        <v>0.2</v>
      </c>
      <c r="E7" s="10">
        <v>9400.6</v>
      </c>
      <c r="F7" s="3"/>
      <c r="G7" s="3"/>
    </row>
    <row r="8" spans="1:10" x14ac:dyDescent="0.35">
      <c r="A8" s="6">
        <v>1796</v>
      </c>
      <c r="B8" s="11" t="s">
        <v>16</v>
      </c>
      <c r="C8" s="9">
        <v>41595</v>
      </c>
      <c r="D8" s="12">
        <v>0.2</v>
      </c>
      <c r="E8" s="10">
        <v>8319</v>
      </c>
      <c r="F8" s="3"/>
      <c r="G8" s="3"/>
      <c r="J8" t="s">
        <v>28</v>
      </c>
    </row>
    <row r="9" spans="1:10" x14ac:dyDescent="0.35">
      <c r="A9" s="6">
        <v>3558</v>
      </c>
      <c r="B9" s="11" t="s">
        <v>17</v>
      </c>
      <c r="C9" s="9">
        <v>41552</v>
      </c>
      <c r="D9" s="12">
        <v>0.2</v>
      </c>
      <c r="E9" s="10">
        <v>8310.4</v>
      </c>
      <c r="F9" s="3"/>
      <c r="G9" s="3"/>
      <c r="J9" t="s">
        <v>27</v>
      </c>
    </row>
    <row r="10" spans="1:10" x14ac:dyDescent="0.35">
      <c r="A10" s="6">
        <v>1437</v>
      </c>
      <c r="B10" s="11" t="s">
        <v>18</v>
      </c>
      <c r="C10" s="9">
        <v>23299</v>
      </c>
      <c r="D10" s="12">
        <v>0.3</v>
      </c>
      <c r="E10" s="10">
        <v>6989.7</v>
      </c>
      <c r="F10" s="3"/>
      <c r="G10" s="3"/>
    </row>
    <row r="11" spans="1:10" ht="15.5" x14ac:dyDescent="0.35">
      <c r="A11" s="6">
        <v>1336</v>
      </c>
      <c r="B11" s="11" t="s">
        <v>19</v>
      </c>
      <c r="C11" s="9">
        <v>34014</v>
      </c>
      <c r="D11" s="12">
        <v>0.15</v>
      </c>
      <c r="E11" s="10">
        <v>5102.0999999999995</v>
      </c>
      <c r="F11" s="3"/>
      <c r="G11" s="3"/>
      <c r="J11" s="2" t="s">
        <v>29</v>
      </c>
    </row>
    <row r="12" spans="1:10" x14ac:dyDescent="0.35">
      <c r="A12" s="6">
        <v>2044</v>
      </c>
      <c r="B12" s="11" t="s">
        <v>20</v>
      </c>
      <c r="C12" s="9">
        <v>43247</v>
      </c>
      <c r="D12" s="12">
        <v>0.15</v>
      </c>
      <c r="E12" s="10">
        <v>6487.05</v>
      </c>
      <c r="F12" s="3"/>
      <c r="G12" s="3"/>
    </row>
    <row r="13" spans="1:10" x14ac:dyDescent="0.35">
      <c r="A13" s="6">
        <v>3320</v>
      </c>
      <c r="B13" s="11" t="s">
        <v>21</v>
      </c>
      <c r="C13" s="9">
        <v>28305</v>
      </c>
      <c r="D13" s="12">
        <v>0.15</v>
      </c>
      <c r="E13" s="10">
        <v>4245.75</v>
      </c>
      <c r="F13" s="3"/>
      <c r="G13" s="3"/>
      <c r="J13" t="s">
        <v>30</v>
      </c>
    </row>
    <row r="14" spans="1:10" x14ac:dyDescent="0.35">
      <c r="A14" s="6">
        <v>1534</v>
      </c>
      <c r="B14" s="11" t="s">
        <v>22</v>
      </c>
      <c r="C14" s="9">
        <v>39218</v>
      </c>
      <c r="D14" s="12">
        <v>0.2</v>
      </c>
      <c r="E14" s="10">
        <v>7843.6</v>
      </c>
      <c r="F14" s="3"/>
      <c r="G14" s="3"/>
    </row>
    <row r="15" spans="1:10" ht="15.5" x14ac:dyDescent="0.35">
      <c r="A15" s="6">
        <v>3989</v>
      </c>
      <c r="B15" s="11" t="s">
        <v>23</v>
      </c>
      <c r="C15" s="9">
        <v>30468</v>
      </c>
      <c r="D15" s="12">
        <v>0.2</v>
      </c>
      <c r="E15" s="10">
        <v>6093.6</v>
      </c>
      <c r="J15" s="2" t="s">
        <v>31</v>
      </c>
    </row>
    <row r="17" spans="10:10" x14ac:dyDescent="0.35">
      <c r="J17" t="s">
        <v>32</v>
      </c>
    </row>
    <row r="18" spans="10:10" x14ac:dyDescent="0.35">
      <c r="J18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F438-EF71-4643-9826-589DB5B913B5}">
  <dimension ref="A1:L17"/>
  <sheetViews>
    <sheetView workbookViewId="0">
      <selection activeCell="G18" sqref="G18"/>
    </sheetView>
  </sheetViews>
  <sheetFormatPr defaultRowHeight="14.5" x14ac:dyDescent="0.35"/>
  <cols>
    <col min="2" max="2" width="17.90625" bestFit="1" customWidth="1"/>
    <col min="4" max="4" width="11.1796875" customWidth="1"/>
    <col min="5" max="5" width="11.90625" customWidth="1"/>
    <col min="7" max="7" width="20.1796875" bestFit="1" customWidth="1"/>
    <col min="8" max="8" width="11.1796875" customWidth="1"/>
    <col min="9" max="9" width="2.26953125" customWidth="1"/>
    <col min="10" max="10" width="10.453125" customWidth="1"/>
  </cols>
  <sheetData>
    <row r="1" spans="1:12" x14ac:dyDescent="0.3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3"/>
    </row>
    <row r="2" spans="1:12" x14ac:dyDescent="0.35">
      <c r="A2" s="6">
        <v>3211</v>
      </c>
      <c r="B2" s="11" t="s">
        <v>6</v>
      </c>
      <c r="C2" s="9">
        <v>27095</v>
      </c>
      <c r="D2" s="14">
        <v>0.2</v>
      </c>
      <c r="E2" s="15">
        <v>5419</v>
      </c>
      <c r="F2" s="3"/>
    </row>
    <row r="3" spans="1:12" x14ac:dyDescent="0.35">
      <c r="A3" s="6">
        <v>2955</v>
      </c>
      <c r="B3" s="11" t="s">
        <v>8</v>
      </c>
      <c r="C3" s="9">
        <v>48696</v>
      </c>
      <c r="D3" s="14">
        <v>0.15</v>
      </c>
      <c r="E3" s="15">
        <v>7304.4</v>
      </c>
      <c r="F3" s="3"/>
    </row>
    <row r="4" spans="1:12" x14ac:dyDescent="0.35">
      <c r="A4" s="6">
        <v>3159</v>
      </c>
      <c r="B4" s="11" t="s">
        <v>10</v>
      </c>
      <c r="C4" s="9">
        <v>29970</v>
      </c>
      <c r="D4" s="14">
        <v>0.25</v>
      </c>
      <c r="E4" s="15">
        <v>7492.5</v>
      </c>
      <c r="F4" s="3"/>
    </row>
    <row r="5" spans="1:12" x14ac:dyDescent="0.35">
      <c r="A5" s="6">
        <v>3004</v>
      </c>
      <c r="B5" s="11" t="s">
        <v>12</v>
      </c>
      <c r="C5" s="9">
        <v>15667</v>
      </c>
      <c r="D5" s="14">
        <v>0.2</v>
      </c>
      <c r="E5" s="15">
        <v>3133.4</v>
      </c>
      <c r="F5" s="3"/>
      <c r="G5" s="8" t="s">
        <v>5</v>
      </c>
      <c r="H5" s="16">
        <f>AVERAGE(C2:C15)</f>
        <v>35460.714285714283</v>
      </c>
      <c r="J5" t="s">
        <v>36</v>
      </c>
    </row>
    <row r="6" spans="1:12" x14ac:dyDescent="0.35">
      <c r="A6" s="6">
        <v>4534</v>
      </c>
      <c r="B6" s="11" t="s">
        <v>14</v>
      </c>
      <c r="C6" s="9">
        <v>46321</v>
      </c>
      <c r="D6" s="14">
        <v>0.2</v>
      </c>
      <c r="E6" s="15">
        <v>9264.2000000000007</v>
      </c>
      <c r="F6" s="3"/>
      <c r="G6" s="8" t="s">
        <v>7</v>
      </c>
      <c r="H6">
        <f>COUNT(A2:A15)</f>
        <v>14</v>
      </c>
      <c r="J6" t="s">
        <v>37</v>
      </c>
    </row>
    <row r="7" spans="1:12" x14ac:dyDescent="0.35">
      <c r="A7" s="6">
        <v>2220</v>
      </c>
      <c r="B7" s="11" t="s">
        <v>15</v>
      </c>
      <c r="C7" s="9">
        <v>47003</v>
      </c>
      <c r="D7" s="14">
        <v>0.2</v>
      </c>
      <c r="E7" s="15">
        <v>9400.6</v>
      </c>
      <c r="F7" s="3"/>
      <c r="G7" s="17" t="s">
        <v>34</v>
      </c>
      <c r="H7">
        <f>COUNTA(B2:B15)</f>
        <v>14</v>
      </c>
      <c r="J7" t="s">
        <v>39</v>
      </c>
    </row>
    <row r="8" spans="1:12" x14ac:dyDescent="0.35">
      <c r="A8" s="6">
        <v>1796</v>
      </c>
      <c r="B8" s="11" t="s">
        <v>16</v>
      </c>
      <c r="C8" s="9">
        <v>41595</v>
      </c>
      <c r="D8" s="14">
        <v>0.2</v>
      </c>
      <c r="E8" s="15">
        <v>8319</v>
      </c>
      <c r="F8" s="3"/>
      <c r="G8" s="8" t="s">
        <v>9</v>
      </c>
      <c r="H8" s="18">
        <f>MIN(E2:E15)</f>
        <v>3133.4</v>
      </c>
      <c r="J8" t="s">
        <v>38</v>
      </c>
    </row>
    <row r="9" spans="1:12" x14ac:dyDescent="0.35">
      <c r="A9" s="6">
        <v>3558</v>
      </c>
      <c r="B9" s="11" t="s">
        <v>17</v>
      </c>
      <c r="C9" s="9">
        <v>41552</v>
      </c>
      <c r="D9" s="14">
        <v>0.2</v>
      </c>
      <c r="E9" s="15">
        <v>8310.4</v>
      </c>
      <c r="F9" s="3"/>
      <c r="G9" s="8" t="s">
        <v>11</v>
      </c>
      <c r="H9" s="19">
        <f>MAX(E2:E15)</f>
        <v>9400.6</v>
      </c>
      <c r="J9" t="s">
        <v>40</v>
      </c>
    </row>
    <row r="10" spans="1:12" x14ac:dyDescent="0.35">
      <c r="A10" s="6">
        <v>1437</v>
      </c>
      <c r="B10" s="11" t="s">
        <v>18</v>
      </c>
      <c r="C10" s="9">
        <v>23299</v>
      </c>
      <c r="D10" s="14">
        <v>0.3</v>
      </c>
      <c r="E10" s="15">
        <v>6989.7</v>
      </c>
      <c r="F10" s="3"/>
      <c r="G10" s="8" t="s">
        <v>13</v>
      </c>
      <c r="H10" s="19">
        <f>SUM(E2:E15)</f>
        <v>95405.300000000032</v>
      </c>
      <c r="J10" t="s">
        <v>41</v>
      </c>
    </row>
    <row r="11" spans="1:12" x14ac:dyDescent="0.35">
      <c r="A11" s="6">
        <v>1336</v>
      </c>
      <c r="B11" s="11" t="s">
        <v>19</v>
      </c>
      <c r="C11" s="9">
        <v>34014</v>
      </c>
      <c r="D11" s="14">
        <v>0.15</v>
      </c>
      <c r="E11" s="15">
        <v>5102.0999999999995</v>
      </c>
      <c r="F11" s="3"/>
      <c r="G11" s="3"/>
    </row>
    <row r="12" spans="1:12" x14ac:dyDescent="0.35">
      <c r="A12" s="6">
        <v>2044</v>
      </c>
      <c r="B12" s="11" t="s">
        <v>20</v>
      </c>
      <c r="C12" s="9">
        <v>43247</v>
      </c>
      <c r="D12" s="14">
        <v>0.15</v>
      </c>
      <c r="E12" s="15">
        <v>6487.05</v>
      </c>
      <c r="F12" s="3"/>
      <c r="G12" s="3"/>
      <c r="H12" s="13" t="s">
        <v>25</v>
      </c>
      <c r="L12" t="s">
        <v>35</v>
      </c>
    </row>
    <row r="13" spans="1:12" x14ac:dyDescent="0.35">
      <c r="A13" s="6">
        <v>3320</v>
      </c>
      <c r="B13" s="11" t="s">
        <v>21</v>
      </c>
      <c r="C13" s="9">
        <v>28305</v>
      </c>
      <c r="D13" s="14">
        <v>0.15</v>
      </c>
      <c r="E13" s="15">
        <v>4245.75</v>
      </c>
      <c r="F13" s="3"/>
      <c r="G13" s="3"/>
    </row>
    <row r="14" spans="1:12" x14ac:dyDescent="0.35">
      <c r="A14" s="6">
        <v>1534</v>
      </c>
      <c r="B14" s="11" t="s">
        <v>22</v>
      </c>
      <c r="C14" s="9">
        <v>39218</v>
      </c>
      <c r="D14" s="14">
        <v>0.2</v>
      </c>
      <c r="E14" s="15">
        <v>7843.6</v>
      </c>
      <c r="F14" s="3"/>
      <c r="G14" s="3" t="s">
        <v>43</v>
      </c>
      <c r="H14">
        <f>SUM(Quantity)</f>
        <v>496450</v>
      </c>
      <c r="J14" t="s">
        <v>44</v>
      </c>
    </row>
    <row r="15" spans="1:12" x14ac:dyDescent="0.35">
      <c r="A15" s="6">
        <v>3989</v>
      </c>
      <c r="B15" s="11" t="s">
        <v>23</v>
      </c>
      <c r="C15" s="9">
        <v>30468</v>
      </c>
      <c r="D15" s="14">
        <v>0.2</v>
      </c>
      <c r="E15" s="15">
        <v>6093.6</v>
      </c>
      <c r="F15" s="3"/>
      <c r="G15" s="3" t="s">
        <v>42</v>
      </c>
      <c r="H15">
        <f>COUNTA(Customer_Name)</f>
        <v>14</v>
      </c>
      <c r="J15" t="s">
        <v>45</v>
      </c>
    </row>
    <row r="17" spans="7:7" x14ac:dyDescent="0.35">
      <c r="G1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C168-D9EF-49E3-8D07-D07991780245}">
  <dimension ref="A1:I20"/>
  <sheetViews>
    <sheetView zoomScale="90" zoomScaleNormal="90" workbookViewId="0">
      <selection activeCell="G17" sqref="G17"/>
    </sheetView>
  </sheetViews>
  <sheetFormatPr defaultRowHeight="14.5" x14ac:dyDescent="0.35"/>
  <cols>
    <col min="1" max="1" width="12.08984375" customWidth="1"/>
    <col min="2" max="2" width="11.08984375" customWidth="1"/>
    <col min="3" max="3" width="13.1796875" customWidth="1"/>
    <col min="4" max="4" width="11.7265625" bestFit="1" customWidth="1"/>
    <col min="5" max="5" width="15.81640625" customWidth="1"/>
    <col min="6" max="6" width="12.90625" customWidth="1"/>
    <col min="7" max="7" width="10.26953125" style="3" customWidth="1"/>
    <col min="8" max="8" width="17" customWidth="1"/>
    <col min="9" max="9" width="13.453125" bestFit="1" customWidth="1"/>
  </cols>
  <sheetData>
    <row r="1" spans="1:9" x14ac:dyDescent="0.35">
      <c r="A1" s="23" t="s">
        <v>47</v>
      </c>
      <c r="B1" s="23" t="s">
        <v>48</v>
      </c>
      <c r="C1" s="23" t="s">
        <v>49</v>
      </c>
      <c r="D1" s="23" t="s">
        <v>50</v>
      </c>
      <c r="E1" s="23" t="s">
        <v>51</v>
      </c>
      <c r="F1" s="26" t="s">
        <v>55</v>
      </c>
      <c r="G1" s="27"/>
    </row>
    <row r="2" spans="1:9" x14ac:dyDescent="0.35">
      <c r="A2" s="20">
        <v>10</v>
      </c>
      <c r="B2" s="24">
        <v>1500</v>
      </c>
      <c r="C2" s="28">
        <v>1500</v>
      </c>
      <c r="D2" s="25">
        <v>5</v>
      </c>
      <c r="E2" s="21">
        <v>44322</v>
      </c>
      <c r="F2" s="4">
        <v>0.375</v>
      </c>
    </row>
    <row r="3" spans="1:9" x14ac:dyDescent="0.35">
      <c r="A3" s="20">
        <v>20</v>
      </c>
      <c r="B3" s="24">
        <v>2000</v>
      </c>
      <c r="C3" s="28">
        <v>2000</v>
      </c>
      <c r="D3" s="25">
        <v>10</v>
      </c>
      <c r="E3" s="21">
        <v>44354</v>
      </c>
      <c r="F3" s="4">
        <v>0.39583333333333331</v>
      </c>
      <c r="H3" s="1" t="s">
        <v>58</v>
      </c>
      <c r="I3" s="29">
        <v>9959723089</v>
      </c>
    </row>
    <row r="4" spans="1:9" x14ac:dyDescent="0.35">
      <c r="A4" s="20">
        <v>30</v>
      </c>
      <c r="B4" s="24">
        <v>2500</v>
      </c>
      <c r="C4" s="28">
        <v>2500</v>
      </c>
      <c r="D4" s="25">
        <v>15</v>
      </c>
      <c r="E4" s="21">
        <v>44386</v>
      </c>
      <c r="F4" s="4">
        <v>0.41666666666666702</v>
      </c>
    </row>
    <row r="5" spans="1:9" x14ac:dyDescent="0.35">
      <c r="A5" s="20">
        <v>40</v>
      </c>
      <c r="B5" s="24">
        <v>3000</v>
      </c>
      <c r="C5" s="28">
        <v>3000</v>
      </c>
      <c r="D5" s="25">
        <v>20</v>
      </c>
      <c r="E5" s="21">
        <v>44418</v>
      </c>
      <c r="F5" s="4">
        <v>0.4375</v>
      </c>
      <c r="I5" t="s">
        <v>59</v>
      </c>
    </row>
    <row r="6" spans="1:9" x14ac:dyDescent="0.35">
      <c r="A6" s="20">
        <v>50</v>
      </c>
      <c r="B6" s="24">
        <v>3500</v>
      </c>
      <c r="C6" s="28">
        <v>3500</v>
      </c>
      <c r="D6" s="25">
        <v>25</v>
      </c>
      <c r="E6" s="21">
        <v>44450</v>
      </c>
      <c r="F6" s="4">
        <v>0.45833333333333298</v>
      </c>
      <c r="G6" s="22"/>
    </row>
    <row r="7" spans="1:9" x14ac:dyDescent="0.35">
      <c r="A7" s="20">
        <v>60</v>
      </c>
      <c r="B7" s="24">
        <v>4000</v>
      </c>
      <c r="C7" s="28">
        <v>4000</v>
      </c>
      <c r="D7" s="25">
        <v>30</v>
      </c>
      <c r="E7" s="21">
        <v>44482</v>
      </c>
      <c r="F7" s="4">
        <v>0.47916666666666702</v>
      </c>
    </row>
    <row r="8" spans="1:9" x14ac:dyDescent="0.35">
      <c r="A8" s="20">
        <v>70</v>
      </c>
      <c r="B8" s="24">
        <v>4500</v>
      </c>
      <c r="C8" s="28">
        <v>4500</v>
      </c>
      <c r="D8" s="25">
        <v>35</v>
      </c>
      <c r="E8" s="21">
        <v>44514</v>
      </c>
      <c r="F8" s="4">
        <v>0.5</v>
      </c>
    </row>
    <row r="9" spans="1:9" x14ac:dyDescent="0.35">
      <c r="A9" s="20">
        <v>80</v>
      </c>
      <c r="B9" s="24">
        <v>5000</v>
      </c>
      <c r="C9" s="28">
        <v>5000</v>
      </c>
      <c r="D9" s="25">
        <v>40</v>
      </c>
      <c r="E9" s="21">
        <v>44546</v>
      </c>
      <c r="F9" s="4">
        <v>0.52083333333333304</v>
      </c>
      <c r="H9" t="s">
        <v>52</v>
      </c>
    </row>
    <row r="10" spans="1:9" x14ac:dyDescent="0.35">
      <c r="A10" s="20">
        <v>90</v>
      </c>
      <c r="B10" s="24">
        <v>5500</v>
      </c>
      <c r="C10" s="28">
        <v>5500</v>
      </c>
      <c r="D10" s="25">
        <v>45</v>
      </c>
      <c r="E10" s="21">
        <v>44578</v>
      </c>
      <c r="F10" s="4">
        <v>0.54166666666666696</v>
      </c>
      <c r="H10" t="s">
        <v>53</v>
      </c>
    </row>
    <row r="11" spans="1:9" x14ac:dyDescent="0.35">
      <c r="A11" s="20">
        <v>100</v>
      </c>
      <c r="B11" s="24">
        <v>6000</v>
      </c>
      <c r="C11" s="28">
        <v>6000</v>
      </c>
      <c r="D11" s="25">
        <v>50</v>
      </c>
      <c r="E11" s="21">
        <v>44610</v>
      </c>
      <c r="F11" s="4">
        <v>0.5625</v>
      </c>
      <c r="H11" t="s">
        <v>54</v>
      </c>
    </row>
    <row r="12" spans="1:9" x14ac:dyDescent="0.35">
      <c r="A12" s="20">
        <v>110</v>
      </c>
      <c r="B12" s="24">
        <v>6500</v>
      </c>
      <c r="C12" s="28">
        <v>6500</v>
      </c>
      <c r="D12" s="25">
        <v>55</v>
      </c>
      <c r="E12" s="21">
        <v>44642</v>
      </c>
      <c r="F12" s="4">
        <v>0.58333333333333304</v>
      </c>
      <c r="H12" t="s">
        <v>56</v>
      </c>
    </row>
    <row r="13" spans="1:9" x14ac:dyDescent="0.35">
      <c r="A13" s="20">
        <v>120</v>
      </c>
      <c r="B13" s="24">
        <v>7000</v>
      </c>
      <c r="C13" s="28">
        <v>7000</v>
      </c>
      <c r="D13" s="25">
        <v>60</v>
      </c>
      <c r="E13" s="21">
        <v>44674</v>
      </c>
      <c r="F13" s="4">
        <v>0.60416666666666596</v>
      </c>
    </row>
    <row r="14" spans="1:9" x14ac:dyDescent="0.35">
      <c r="A14" s="20">
        <v>130</v>
      </c>
      <c r="B14" s="24">
        <v>7500</v>
      </c>
      <c r="C14" s="28">
        <v>7500</v>
      </c>
      <c r="D14" s="25">
        <v>65</v>
      </c>
      <c r="E14" s="21">
        <v>44706</v>
      </c>
      <c r="F14" s="4">
        <v>0.625</v>
      </c>
      <c r="H14" t="s">
        <v>57</v>
      </c>
    </row>
    <row r="15" spans="1:9" x14ac:dyDescent="0.35">
      <c r="A15" s="20">
        <v>140</v>
      </c>
      <c r="B15" s="24">
        <v>8000</v>
      </c>
      <c r="C15" s="28">
        <v>8000</v>
      </c>
      <c r="D15" s="25">
        <v>70</v>
      </c>
      <c r="E15" s="21">
        <v>44738</v>
      </c>
      <c r="F15" s="4">
        <v>0.64583333333333304</v>
      </c>
    </row>
    <row r="16" spans="1:9" x14ac:dyDescent="0.35">
      <c r="A16" s="20">
        <v>150</v>
      </c>
      <c r="B16" s="24">
        <v>8500</v>
      </c>
      <c r="C16" s="28">
        <v>8500</v>
      </c>
      <c r="D16" s="25">
        <v>75</v>
      </c>
      <c r="E16" s="21">
        <v>44770</v>
      </c>
      <c r="F16" s="4">
        <v>0.66666666666666596</v>
      </c>
    </row>
    <row r="17" spans="1:6" x14ac:dyDescent="0.35">
      <c r="A17" s="20">
        <v>160</v>
      </c>
      <c r="B17" s="24">
        <v>9000</v>
      </c>
      <c r="C17" s="28">
        <v>9000</v>
      </c>
      <c r="D17" s="25">
        <v>80</v>
      </c>
      <c r="E17" s="21">
        <v>44802</v>
      </c>
      <c r="F17" s="4">
        <v>0.6875</v>
      </c>
    </row>
    <row r="18" spans="1:6" x14ac:dyDescent="0.35">
      <c r="A18" s="20">
        <v>200</v>
      </c>
      <c r="B18" s="24">
        <v>11000</v>
      </c>
      <c r="C18" s="28">
        <v>11000</v>
      </c>
      <c r="D18" s="25">
        <v>100</v>
      </c>
      <c r="E18" s="21">
        <v>44930</v>
      </c>
      <c r="F18" s="4">
        <v>0.70833333333333304</v>
      </c>
    </row>
    <row r="19" spans="1:6" x14ac:dyDescent="0.35">
      <c r="A19" s="20">
        <v>210</v>
      </c>
      <c r="B19" s="24">
        <v>11500</v>
      </c>
      <c r="C19" s="28">
        <v>11500</v>
      </c>
      <c r="D19" s="25">
        <v>105</v>
      </c>
      <c r="E19" s="21">
        <v>44962</v>
      </c>
      <c r="F19" s="4">
        <v>0.72916666666666596</v>
      </c>
    </row>
    <row r="20" spans="1:6" x14ac:dyDescent="0.35">
      <c r="A20" s="20">
        <v>220</v>
      </c>
      <c r="B20" s="24">
        <v>12000</v>
      </c>
      <c r="C20" s="28">
        <v>12000</v>
      </c>
      <c r="D20" s="25">
        <v>110</v>
      </c>
      <c r="E20" s="21">
        <v>44994</v>
      </c>
      <c r="F20" s="4">
        <v>0.75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9EBC-77C8-4873-8AE6-BB36F007429F}">
  <dimension ref="A1:L19"/>
  <sheetViews>
    <sheetView zoomScale="90" zoomScaleNormal="90" workbookViewId="0">
      <selection sqref="A1:E17"/>
    </sheetView>
  </sheetViews>
  <sheetFormatPr defaultRowHeight="14.5" x14ac:dyDescent="0.35"/>
  <cols>
    <col min="1" max="1" width="11.90625" style="3" bestFit="1" customWidth="1"/>
    <col min="2" max="2" width="40.90625" bestFit="1" customWidth="1"/>
    <col min="3" max="3" width="7.54296875" bestFit="1" customWidth="1"/>
    <col min="5" max="5" width="12.36328125" bestFit="1" customWidth="1"/>
  </cols>
  <sheetData>
    <row r="1" spans="1:12" ht="19" thickBot="1" x14ac:dyDescent="0.5">
      <c r="A1" s="31" t="s">
        <v>60</v>
      </c>
      <c r="B1" s="36" t="s">
        <v>61</v>
      </c>
      <c r="C1" s="32" t="s">
        <v>62</v>
      </c>
      <c r="D1" s="31" t="s">
        <v>63</v>
      </c>
      <c r="E1" s="31" t="s">
        <v>13</v>
      </c>
    </row>
    <row r="2" spans="1:12" ht="15" thickBot="1" x14ac:dyDescent="0.4">
      <c r="A2" s="33" t="s">
        <v>64</v>
      </c>
      <c r="B2" s="34" t="s">
        <v>65</v>
      </c>
      <c r="C2" s="34" t="s">
        <v>66</v>
      </c>
      <c r="D2" s="33">
        <v>49</v>
      </c>
      <c r="E2" s="33">
        <v>339</v>
      </c>
    </row>
    <row r="3" spans="1:12" ht="15" thickBot="1" x14ac:dyDescent="0.4">
      <c r="A3" s="33" t="s">
        <v>67</v>
      </c>
      <c r="B3" s="34" t="s">
        <v>68</v>
      </c>
      <c r="C3" s="34" t="s">
        <v>69</v>
      </c>
      <c r="D3" s="33">
        <v>44</v>
      </c>
      <c r="E3" s="33">
        <v>239</v>
      </c>
    </row>
    <row r="4" spans="1:12" ht="15" thickBot="1" x14ac:dyDescent="0.4">
      <c r="A4" s="33" t="s">
        <v>70</v>
      </c>
      <c r="B4" s="34" t="s">
        <v>71</v>
      </c>
      <c r="C4" s="34" t="s">
        <v>72</v>
      </c>
      <c r="D4" s="33">
        <v>45</v>
      </c>
      <c r="E4" s="33">
        <v>379</v>
      </c>
      <c r="G4" t="s">
        <v>104</v>
      </c>
    </row>
    <row r="5" spans="1:12" ht="15" thickBot="1" x14ac:dyDescent="0.4">
      <c r="A5" s="33" t="s">
        <v>73</v>
      </c>
      <c r="B5" s="34" t="s">
        <v>74</v>
      </c>
      <c r="C5" s="34" t="s">
        <v>75</v>
      </c>
      <c r="D5" s="33">
        <v>52</v>
      </c>
      <c r="E5" s="33">
        <v>288</v>
      </c>
      <c r="G5" t="s">
        <v>105</v>
      </c>
    </row>
    <row r="6" spans="1:12" ht="15" thickBot="1" x14ac:dyDescent="0.4">
      <c r="A6" s="33" t="s">
        <v>76</v>
      </c>
      <c r="B6" s="34" t="s">
        <v>77</v>
      </c>
      <c r="C6" s="34" t="s">
        <v>78</v>
      </c>
      <c r="D6" s="33">
        <v>35</v>
      </c>
      <c r="E6" s="33">
        <v>213</v>
      </c>
      <c r="G6" t="s">
        <v>106</v>
      </c>
    </row>
    <row r="7" spans="1:12" ht="15" thickBot="1" x14ac:dyDescent="0.4">
      <c r="A7" s="33" t="s">
        <v>79</v>
      </c>
      <c r="B7" s="34" t="s">
        <v>80</v>
      </c>
      <c r="C7" s="34" t="s">
        <v>81</v>
      </c>
      <c r="D7" s="33">
        <v>86</v>
      </c>
      <c r="E7" s="33">
        <v>265</v>
      </c>
    </row>
    <row r="8" spans="1:12" ht="15" thickBot="1" x14ac:dyDescent="0.4">
      <c r="A8" s="33" t="s">
        <v>82</v>
      </c>
      <c r="B8" s="34" t="s">
        <v>83</v>
      </c>
      <c r="C8" s="34" t="s">
        <v>84</v>
      </c>
      <c r="D8" s="33">
        <v>84</v>
      </c>
      <c r="E8" s="33">
        <v>369</v>
      </c>
      <c r="G8" s="38" t="s">
        <v>107</v>
      </c>
    </row>
    <row r="9" spans="1:12" ht="15" thickBot="1" x14ac:dyDescent="0.4">
      <c r="A9" s="33" t="s">
        <v>85</v>
      </c>
      <c r="B9" s="34" t="s">
        <v>86</v>
      </c>
      <c r="C9" s="34" t="s">
        <v>87</v>
      </c>
      <c r="D9" s="33">
        <v>73</v>
      </c>
      <c r="E9" s="33">
        <v>285</v>
      </c>
    </row>
    <row r="10" spans="1:12" ht="15" thickBot="1" x14ac:dyDescent="0.4">
      <c r="A10" s="33" t="s">
        <v>88</v>
      </c>
      <c r="B10" s="34" t="s">
        <v>89</v>
      </c>
      <c r="C10" s="34" t="s">
        <v>66</v>
      </c>
      <c r="D10" s="33">
        <v>54</v>
      </c>
      <c r="E10" s="33">
        <v>189</v>
      </c>
      <c r="G10" t="s">
        <v>108</v>
      </c>
    </row>
    <row r="11" spans="1:12" ht="15" thickBot="1" x14ac:dyDescent="0.4">
      <c r="A11" s="33" t="s">
        <v>90</v>
      </c>
      <c r="B11" s="34" t="s">
        <v>91</v>
      </c>
      <c r="C11" s="34" t="s">
        <v>69</v>
      </c>
      <c r="D11" s="33">
        <v>52</v>
      </c>
      <c r="E11" s="33">
        <v>213</v>
      </c>
    </row>
    <row r="12" spans="1:12" ht="15" thickBot="1" x14ac:dyDescent="0.4">
      <c r="A12" s="33" t="s">
        <v>92</v>
      </c>
      <c r="B12" s="34" t="s">
        <v>93</v>
      </c>
      <c r="C12" s="34" t="s">
        <v>72</v>
      </c>
      <c r="D12" s="33">
        <v>63</v>
      </c>
      <c r="E12" s="33">
        <v>219</v>
      </c>
      <c r="I12" s="37"/>
    </row>
    <row r="13" spans="1:12" ht="15" thickBot="1" x14ac:dyDescent="0.4">
      <c r="A13" s="33" t="s">
        <v>94</v>
      </c>
      <c r="B13" s="34" t="s">
        <v>95</v>
      </c>
      <c r="C13" s="34" t="s">
        <v>75</v>
      </c>
      <c r="D13" s="33">
        <v>79</v>
      </c>
      <c r="E13" s="33">
        <v>376</v>
      </c>
      <c r="I13" s="35"/>
      <c r="J13" s="35"/>
      <c r="K13" s="35"/>
      <c r="L13" s="35"/>
    </row>
    <row r="14" spans="1:12" ht="15" thickBot="1" x14ac:dyDescent="0.4">
      <c r="A14" s="33" t="s">
        <v>96</v>
      </c>
      <c r="B14" s="34" t="s">
        <v>97</v>
      </c>
      <c r="C14" s="34" t="s">
        <v>78</v>
      </c>
      <c r="D14" s="33">
        <v>95</v>
      </c>
      <c r="E14" s="33">
        <v>332</v>
      </c>
      <c r="I14" s="35"/>
      <c r="J14" s="35"/>
      <c r="K14" s="35"/>
      <c r="L14" s="35"/>
    </row>
    <row r="15" spans="1:12" ht="15" thickBot="1" x14ac:dyDescent="0.4">
      <c r="A15" s="33" t="s">
        <v>98</v>
      </c>
      <c r="B15" s="34" t="s">
        <v>99</v>
      </c>
      <c r="C15" s="34" t="s">
        <v>81</v>
      </c>
      <c r="D15" s="33">
        <v>83</v>
      </c>
      <c r="E15" s="33">
        <v>288</v>
      </c>
      <c r="I15" s="35"/>
      <c r="J15" s="35"/>
      <c r="K15" s="35"/>
      <c r="L15" s="35"/>
    </row>
    <row r="16" spans="1:12" ht="15" thickBot="1" x14ac:dyDescent="0.4">
      <c r="A16" s="33" t="s">
        <v>100</v>
      </c>
      <c r="B16" s="34" t="s">
        <v>101</v>
      </c>
      <c r="C16" s="34" t="s">
        <v>84</v>
      </c>
      <c r="D16" s="33">
        <v>78</v>
      </c>
      <c r="E16" s="33">
        <v>285</v>
      </c>
      <c r="I16" s="35"/>
      <c r="J16" s="35"/>
      <c r="K16" s="35"/>
      <c r="L16" s="35"/>
    </row>
    <row r="17" spans="1:12" ht="15" thickBot="1" x14ac:dyDescent="0.4">
      <c r="A17" s="33" t="s">
        <v>102</v>
      </c>
      <c r="B17" s="34" t="s">
        <v>103</v>
      </c>
      <c r="C17" s="34" t="s">
        <v>87</v>
      </c>
      <c r="D17" s="33">
        <v>14</v>
      </c>
      <c r="E17" s="33">
        <v>199</v>
      </c>
      <c r="I17" s="35"/>
      <c r="J17" s="35"/>
      <c r="K17" s="35"/>
      <c r="L17" s="35"/>
    </row>
    <row r="18" spans="1:12" x14ac:dyDescent="0.35">
      <c r="B18" s="30"/>
      <c r="C18" s="30"/>
      <c r="I18" s="35"/>
      <c r="J18" s="35"/>
      <c r="K18" s="35"/>
      <c r="L18" s="35"/>
    </row>
    <row r="19" spans="1:12" x14ac:dyDescent="0.35">
      <c r="B19" s="30"/>
      <c r="C19" s="30"/>
      <c r="I19" s="35"/>
      <c r="J19" s="35"/>
      <c r="K19" s="35"/>
      <c r="L19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8500-D424-4EF6-9234-25E8564A3112}">
  <dimension ref="A1:H17"/>
  <sheetViews>
    <sheetView workbookViewId="0">
      <selection activeCell="I12" sqref="I12"/>
    </sheetView>
  </sheetViews>
  <sheetFormatPr defaultRowHeight="14.5" x14ac:dyDescent="0.35"/>
  <cols>
    <col min="1" max="1" width="11.81640625" bestFit="1" customWidth="1"/>
    <col min="2" max="2" width="20.6328125" bestFit="1" customWidth="1"/>
    <col min="3" max="3" width="8.90625" customWidth="1"/>
    <col min="5" max="5" width="12.36328125" bestFit="1" customWidth="1"/>
  </cols>
  <sheetData>
    <row r="1" spans="1:8" x14ac:dyDescent="0.35">
      <c r="A1" s="47" t="s">
        <v>60</v>
      </c>
      <c r="B1" s="48" t="s">
        <v>61</v>
      </c>
      <c r="C1" s="48" t="s">
        <v>62</v>
      </c>
      <c r="D1" s="49" t="s">
        <v>63</v>
      </c>
      <c r="E1" s="50" t="s">
        <v>13</v>
      </c>
    </row>
    <row r="2" spans="1:8" x14ac:dyDescent="0.35">
      <c r="A2" s="39" t="s">
        <v>64</v>
      </c>
      <c r="B2" s="40" t="s">
        <v>65</v>
      </c>
      <c r="C2" s="40" t="s">
        <v>66</v>
      </c>
      <c r="D2" s="41">
        <v>49</v>
      </c>
      <c r="E2" s="42">
        <v>339</v>
      </c>
    </row>
    <row r="3" spans="1:8" x14ac:dyDescent="0.35">
      <c r="A3" s="39" t="s">
        <v>67</v>
      </c>
      <c r="B3" s="40" t="s">
        <v>68</v>
      </c>
      <c r="C3" s="40" t="s">
        <v>69</v>
      </c>
      <c r="D3" s="41">
        <v>44</v>
      </c>
      <c r="E3" s="42">
        <v>239</v>
      </c>
    </row>
    <row r="4" spans="1:8" x14ac:dyDescent="0.35">
      <c r="A4" s="39" t="s">
        <v>70</v>
      </c>
      <c r="B4" s="40" t="s">
        <v>71</v>
      </c>
      <c r="C4" s="40" t="s">
        <v>72</v>
      </c>
      <c r="D4" s="41">
        <v>45</v>
      </c>
      <c r="E4" s="42">
        <v>379</v>
      </c>
      <c r="H4" t="s">
        <v>109</v>
      </c>
    </row>
    <row r="5" spans="1:8" x14ac:dyDescent="0.35">
      <c r="A5" s="39" t="s">
        <v>73</v>
      </c>
      <c r="B5" s="40" t="s">
        <v>74</v>
      </c>
      <c r="C5" s="40" t="s">
        <v>75</v>
      </c>
      <c r="D5" s="41">
        <v>52</v>
      </c>
      <c r="E5" s="42">
        <v>288</v>
      </c>
      <c r="H5" t="s">
        <v>110</v>
      </c>
    </row>
    <row r="6" spans="1:8" x14ac:dyDescent="0.35">
      <c r="A6" s="39" t="s">
        <v>76</v>
      </c>
      <c r="B6" s="40" t="s">
        <v>77</v>
      </c>
      <c r="C6" s="40" t="s">
        <v>78</v>
      </c>
      <c r="D6" s="41">
        <v>35</v>
      </c>
      <c r="E6" s="42">
        <v>213</v>
      </c>
      <c r="H6" t="s">
        <v>111</v>
      </c>
    </row>
    <row r="7" spans="1:8" x14ac:dyDescent="0.35">
      <c r="A7" s="39" t="s">
        <v>79</v>
      </c>
      <c r="B7" s="40" t="s">
        <v>80</v>
      </c>
      <c r="C7" s="40" t="s">
        <v>81</v>
      </c>
      <c r="D7" s="41">
        <v>86</v>
      </c>
      <c r="E7" s="42">
        <v>265</v>
      </c>
      <c r="H7" t="s">
        <v>112</v>
      </c>
    </row>
    <row r="8" spans="1:8" x14ac:dyDescent="0.35">
      <c r="A8" s="39" t="s">
        <v>82</v>
      </c>
      <c r="B8" s="40" t="s">
        <v>83</v>
      </c>
      <c r="C8" s="40" t="s">
        <v>84</v>
      </c>
      <c r="D8" s="41">
        <v>84</v>
      </c>
      <c r="E8" s="42">
        <v>369</v>
      </c>
      <c r="H8" t="s">
        <v>113</v>
      </c>
    </row>
    <row r="9" spans="1:8" x14ac:dyDescent="0.35">
      <c r="A9" s="39" t="s">
        <v>85</v>
      </c>
      <c r="B9" s="40" t="s">
        <v>86</v>
      </c>
      <c r="C9" s="40" t="s">
        <v>87</v>
      </c>
      <c r="D9" s="41">
        <v>73</v>
      </c>
      <c r="E9" s="42">
        <v>285</v>
      </c>
    </row>
    <row r="10" spans="1:8" x14ac:dyDescent="0.35">
      <c r="A10" s="39" t="s">
        <v>88</v>
      </c>
      <c r="B10" s="40" t="s">
        <v>89</v>
      </c>
      <c r="C10" s="40" t="s">
        <v>66</v>
      </c>
      <c r="D10" s="41">
        <v>54</v>
      </c>
      <c r="E10" s="42">
        <v>189</v>
      </c>
    </row>
    <row r="11" spans="1:8" x14ac:dyDescent="0.35">
      <c r="A11" s="39" t="s">
        <v>90</v>
      </c>
      <c r="B11" s="40" t="s">
        <v>91</v>
      </c>
      <c r="C11" s="40" t="s">
        <v>69</v>
      </c>
      <c r="D11" s="41">
        <v>52</v>
      </c>
      <c r="E11" s="42">
        <v>213</v>
      </c>
    </row>
    <row r="12" spans="1:8" x14ac:dyDescent="0.35">
      <c r="A12" s="39" t="s">
        <v>92</v>
      </c>
      <c r="B12" s="40" t="s">
        <v>93</v>
      </c>
      <c r="C12" s="40" t="s">
        <v>72</v>
      </c>
      <c r="D12" s="41">
        <v>63</v>
      </c>
      <c r="E12" s="42">
        <v>219</v>
      </c>
    </row>
    <row r="13" spans="1:8" x14ac:dyDescent="0.35">
      <c r="A13" s="39" t="s">
        <v>94</v>
      </c>
      <c r="B13" s="40" t="s">
        <v>95</v>
      </c>
      <c r="C13" s="40" t="s">
        <v>75</v>
      </c>
      <c r="D13" s="41">
        <v>79</v>
      </c>
      <c r="E13" s="42">
        <v>376</v>
      </c>
    </row>
    <row r="14" spans="1:8" x14ac:dyDescent="0.35">
      <c r="A14" s="39" t="s">
        <v>96</v>
      </c>
      <c r="B14" s="40" t="s">
        <v>97</v>
      </c>
      <c r="C14" s="40" t="s">
        <v>78</v>
      </c>
      <c r="D14" s="41">
        <v>95</v>
      </c>
      <c r="E14" s="42">
        <v>332</v>
      </c>
    </row>
    <row r="15" spans="1:8" x14ac:dyDescent="0.35">
      <c r="A15" s="39" t="s">
        <v>98</v>
      </c>
      <c r="B15" s="40" t="s">
        <v>99</v>
      </c>
      <c r="C15" s="40" t="s">
        <v>81</v>
      </c>
      <c r="D15" s="41">
        <v>83</v>
      </c>
      <c r="E15" s="42">
        <v>288</v>
      </c>
    </row>
    <row r="16" spans="1:8" x14ac:dyDescent="0.35">
      <c r="A16" s="39" t="s">
        <v>100</v>
      </c>
      <c r="B16" s="40" t="s">
        <v>101</v>
      </c>
      <c r="C16" s="40" t="s">
        <v>84</v>
      </c>
      <c r="D16" s="41">
        <v>78</v>
      </c>
      <c r="E16" s="42">
        <v>285</v>
      </c>
    </row>
    <row r="17" spans="1:5" ht="15" thickBot="1" x14ac:dyDescent="0.4">
      <c r="A17" s="43" t="s">
        <v>102</v>
      </c>
      <c r="B17" s="44" t="s">
        <v>103</v>
      </c>
      <c r="C17" s="44" t="s">
        <v>87</v>
      </c>
      <c r="D17" s="45">
        <v>14</v>
      </c>
      <c r="E17" s="46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B449-C88F-4990-899F-C4AE79992817}">
  <dimension ref="A1:H25"/>
  <sheetViews>
    <sheetView zoomScale="90" zoomScaleNormal="90" workbookViewId="0">
      <selection activeCell="E3" sqref="E3"/>
    </sheetView>
  </sheetViews>
  <sheetFormatPr defaultRowHeight="14.5" x14ac:dyDescent="0.35"/>
  <cols>
    <col min="1" max="1" width="17.90625" bestFit="1" customWidth="1"/>
    <col min="2" max="2" width="11.6328125" bestFit="1" customWidth="1"/>
    <col min="3" max="3" width="7.6328125" bestFit="1" customWidth="1"/>
    <col min="4" max="4" width="7.08984375" bestFit="1" customWidth="1"/>
    <col min="5" max="5" width="12" bestFit="1" customWidth="1"/>
  </cols>
  <sheetData>
    <row r="1" spans="1:8" x14ac:dyDescent="0.35">
      <c r="A1" s="51" t="s">
        <v>114</v>
      </c>
      <c r="B1" s="51" t="s">
        <v>115</v>
      </c>
      <c r="C1" s="51" t="s">
        <v>116</v>
      </c>
      <c r="D1" s="52" t="s">
        <v>117</v>
      </c>
      <c r="E1" s="51" t="s">
        <v>118</v>
      </c>
    </row>
    <row r="2" spans="1:8" x14ac:dyDescent="0.35">
      <c r="A2" s="53" t="s">
        <v>119</v>
      </c>
      <c r="B2" s="53" t="s">
        <v>120</v>
      </c>
      <c r="C2" s="53" t="s">
        <v>121</v>
      </c>
      <c r="D2" s="54" t="s">
        <v>122</v>
      </c>
      <c r="E2" s="55">
        <v>100</v>
      </c>
      <c r="H2" t="s">
        <v>152</v>
      </c>
    </row>
    <row r="3" spans="1:8" x14ac:dyDescent="0.35">
      <c r="A3" s="53" t="s">
        <v>123</v>
      </c>
      <c r="B3" s="53" t="s">
        <v>120</v>
      </c>
      <c r="C3" s="53" t="s">
        <v>124</v>
      </c>
      <c r="D3" s="54" t="s">
        <v>125</v>
      </c>
      <c r="E3" s="55">
        <v>500</v>
      </c>
      <c r="H3" t="s">
        <v>153</v>
      </c>
    </row>
    <row r="4" spans="1:8" x14ac:dyDescent="0.35">
      <c r="A4" s="53" t="s">
        <v>126</v>
      </c>
      <c r="B4" s="53" t="s">
        <v>155</v>
      </c>
      <c r="C4" s="53" t="s">
        <v>124</v>
      </c>
      <c r="D4" s="54" t="s">
        <v>125</v>
      </c>
      <c r="E4" s="55">
        <v>500</v>
      </c>
    </row>
    <row r="5" spans="1:8" x14ac:dyDescent="0.35">
      <c r="A5" s="53" t="s">
        <v>127</v>
      </c>
      <c r="B5" s="53" t="s">
        <v>120</v>
      </c>
      <c r="C5" s="53" t="s">
        <v>124</v>
      </c>
      <c r="D5" s="54" t="s">
        <v>128</v>
      </c>
      <c r="E5" s="55">
        <v>250</v>
      </c>
      <c r="H5" t="s">
        <v>154</v>
      </c>
    </row>
    <row r="6" spans="1:8" x14ac:dyDescent="0.35">
      <c r="A6" s="53" t="s">
        <v>129</v>
      </c>
      <c r="B6" s="53" t="s">
        <v>130</v>
      </c>
      <c r="C6" s="53" t="s">
        <v>124</v>
      </c>
      <c r="D6" s="54" t="s">
        <v>128</v>
      </c>
      <c r="E6" s="55">
        <v>250</v>
      </c>
      <c r="H6" t="s">
        <v>156</v>
      </c>
    </row>
    <row r="7" spans="1:8" x14ac:dyDescent="0.35">
      <c r="A7" s="53" t="s">
        <v>131</v>
      </c>
      <c r="B7" s="53" t="s">
        <v>130</v>
      </c>
      <c r="C7" s="53" t="s">
        <v>124</v>
      </c>
      <c r="D7" s="54" t="s">
        <v>122</v>
      </c>
      <c r="E7" s="55">
        <v>100</v>
      </c>
      <c r="H7" t="s">
        <v>157</v>
      </c>
    </row>
    <row r="8" spans="1:8" x14ac:dyDescent="0.35">
      <c r="A8" s="53" t="s">
        <v>132</v>
      </c>
      <c r="B8" s="53" t="s">
        <v>133</v>
      </c>
      <c r="C8" s="53" t="s">
        <v>124</v>
      </c>
      <c r="D8" s="54" t="s">
        <v>122</v>
      </c>
      <c r="E8" s="55">
        <v>100</v>
      </c>
    </row>
    <row r="9" spans="1:8" x14ac:dyDescent="0.35">
      <c r="A9" s="53" t="s">
        <v>134</v>
      </c>
      <c r="B9" s="53" t="s">
        <v>135</v>
      </c>
      <c r="C9" s="53" t="s">
        <v>121</v>
      </c>
      <c r="D9" s="54" t="s">
        <v>125</v>
      </c>
      <c r="E9" s="55">
        <v>500</v>
      </c>
    </row>
    <row r="10" spans="1:8" x14ac:dyDescent="0.35">
      <c r="A10" s="53" t="s">
        <v>136</v>
      </c>
      <c r="B10" s="53" t="s">
        <v>135</v>
      </c>
      <c r="C10" s="53" t="s">
        <v>124</v>
      </c>
      <c r="D10" s="54" t="s">
        <v>128</v>
      </c>
      <c r="E10" s="55">
        <v>250</v>
      </c>
    </row>
    <row r="11" spans="1:8" x14ac:dyDescent="0.35">
      <c r="A11" s="53" t="s">
        <v>137</v>
      </c>
      <c r="B11" s="53" t="s">
        <v>135</v>
      </c>
      <c r="C11" s="53" t="s">
        <v>121</v>
      </c>
      <c r="D11" s="54" t="s">
        <v>125</v>
      </c>
      <c r="E11" s="55">
        <v>500</v>
      </c>
    </row>
    <row r="12" spans="1:8" x14ac:dyDescent="0.35">
      <c r="A12" s="53" t="s">
        <v>138</v>
      </c>
      <c r="B12" s="53" t="s">
        <v>120</v>
      </c>
      <c r="C12" s="53" t="s">
        <v>124</v>
      </c>
      <c r="D12" s="54" t="s">
        <v>122</v>
      </c>
      <c r="E12" s="55">
        <v>100</v>
      </c>
    </row>
    <row r="13" spans="1:8" x14ac:dyDescent="0.35">
      <c r="A13" s="53" t="s">
        <v>139</v>
      </c>
      <c r="B13" s="53" t="s">
        <v>130</v>
      </c>
      <c r="C13" s="53" t="s">
        <v>121</v>
      </c>
      <c r="D13" s="54" t="s">
        <v>122</v>
      </c>
      <c r="E13" s="55">
        <v>100</v>
      </c>
    </row>
    <row r="14" spans="1:8" x14ac:dyDescent="0.35">
      <c r="A14" s="53" t="s">
        <v>140</v>
      </c>
      <c r="B14" s="53" t="s">
        <v>155</v>
      </c>
      <c r="C14" s="53" t="s">
        <v>124</v>
      </c>
      <c r="D14" s="54" t="s">
        <v>125</v>
      </c>
      <c r="E14" s="55">
        <v>500</v>
      </c>
    </row>
    <row r="15" spans="1:8" x14ac:dyDescent="0.35">
      <c r="A15" s="53" t="s">
        <v>141</v>
      </c>
      <c r="B15" s="53" t="s">
        <v>133</v>
      </c>
      <c r="C15" s="53" t="s">
        <v>121</v>
      </c>
      <c r="D15" s="54" t="s">
        <v>125</v>
      </c>
      <c r="E15" s="55">
        <v>500</v>
      </c>
    </row>
    <row r="16" spans="1:8" x14ac:dyDescent="0.35">
      <c r="A16" s="53" t="s">
        <v>142</v>
      </c>
      <c r="B16" s="53" t="s">
        <v>133</v>
      </c>
      <c r="C16" s="53" t="s">
        <v>124</v>
      </c>
      <c r="D16" s="54" t="s">
        <v>128</v>
      </c>
      <c r="E16" s="55">
        <v>250</v>
      </c>
    </row>
    <row r="17" spans="1:5" x14ac:dyDescent="0.35">
      <c r="A17" s="53" t="s">
        <v>143</v>
      </c>
      <c r="B17" s="53" t="s">
        <v>130</v>
      </c>
      <c r="C17" s="53" t="s">
        <v>124</v>
      </c>
      <c r="D17" s="54" t="s">
        <v>122</v>
      </c>
      <c r="E17" s="55">
        <v>100</v>
      </c>
    </row>
    <row r="18" spans="1:5" x14ac:dyDescent="0.35">
      <c r="A18" s="53" t="s">
        <v>144</v>
      </c>
      <c r="B18" s="53" t="s">
        <v>135</v>
      </c>
      <c r="C18" s="53" t="s">
        <v>124</v>
      </c>
      <c r="D18" s="54" t="s">
        <v>125</v>
      </c>
      <c r="E18" s="55">
        <v>550</v>
      </c>
    </row>
    <row r="19" spans="1:5" x14ac:dyDescent="0.35">
      <c r="A19" s="53" t="s">
        <v>145</v>
      </c>
      <c r="B19" s="53" t="s">
        <v>155</v>
      </c>
      <c r="C19" s="53" t="s">
        <v>124</v>
      </c>
      <c r="D19" s="54" t="s">
        <v>125</v>
      </c>
      <c r="E19" s="55">
        <v>550</v>
      </c>
    </row>
    <row r="20" spans="1:5" x14ac:dyDescent="0.35">
      <c r="A20" s="53" t="s">
        <v>146</v>
      </c>
      <c r="B20" s="53" t="s">
        <v>120</v>
      </c>
      <c r="C20" s="53" t="s">
        <v>121</v>
      </c>
      <c r="D20" s="54" t="s">
        <v>122</v>
      </c>
      <c r="E20" s="55">
        <v>100</v>
      </c>
    </row>
    <row r="21" spans="1:5" x14ac:dyDescent="0.35">
      <c r="A21" s="53" t="s">
        <v>147</v>
      </c>
      <c r="B21" s="53" t="s">
        <v>120</v>
      </c>
      <c r="C21" s="53" t="s">
        <v>124</v>
      </c>
      <c r="D21" s="54" t="s">
        <v>125</v>
      </c>
      <c r="E21" s="55">
        <v>550</v>
      </c>
    </row>
    <row r="22" spans="1:5" x14ac:dyDescent="0.35">
      <c r="A22" s="53" t="s">
        <v>148</v>
      </c>
      <c r="B22" s="53" t="s">
        <v>155</v>
      </c>
      <c r="C22" s="53" t="s">
        <v>121</v>
      </c>
      <c r="D22" s="54" t="s">
        <v>122</v>
      </c>
      <c r="E22" s="55">
        <v>100</v>
      </c>
    </row>
    <row r="23" spans="1:5" x14ac:dyDescent="0.35">
      <c r="A23" s="53" t="s">
        <v>149</v>
      </c>
      <c r="B23" s="53" t="s">
        <v>133</v>
      </c>
      <c r="C23" s="53" t="s">
        <v>124</v>
      </c>
      <c r="D23" s="54" t="s">
        <v>125</v>
      </c>
      <c r="E23" s="55">
        <v>500</v>
      </c>
    </row>
    <row r="24" spans="1:5" x14ac:dyDescent="0.35">
      <c r="A24" s="53" t="s">
        <v>150</v>
      </c>
      <c r="B24" s="53" t="s">
        <v>130</v>
      </c>
      <c r="C24" s="53" t="s">
        <v>121</v>
      </c>
      <c r="D24" s="54" t="s">
        <v>128</v>
      </c>
      <c r="E24" s="55">
        <v>250</v>
      </c>
    </row>
    <row r="25" spans="1:5" x14ac:dyDescent="0.35">
      <c r="A25" s="53" t="s">
        <v>151</v>
      </c>
      <c r="B25" s="53" t="s">
        <v>135</v>
      </c>
      <c r="C25" s="53" t="s">
        <v>124</v>
      </c>
      <c r="D25" s="54" t="s">
        <v>125</v>
      </c>
      <c r="E25" s="55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87C6-4164-48BE-9BA1-D83D4013D40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Name Ranges</vt:lpstr>
      <vt:lpstr>NameRanges Calculations</vt:lpstr>
      <vt:lpstr>Nmbr,Date,Time Formating</vt:lpstr>
      <vt:lpstr>Formate Cells</vt:lpstr>
      <vt:lpstr>Auto Format</vt:lpstr>
      <vt:lpstr>Find &amp; Replace</vt:lpstr>
      <vt:lpstr>Sheet7</vt:lpstr>
      <vt:lpstr>All_Data</vt:lpstr>
      <vt:lpstr>Customer_Name</vt:lpstr>
      <vt:lpstr>Quantity</vt:lpstr>
    </vt:vector>
  </TitlesOfParts>
  <Company>Ranvijay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Ranvijay Chauhan</dc:creator>
  <cp:lastModifiedBy>Ranvijay Chauhan</cp:lastModifiedBy>
  <dcterms:created xsi:type="dcterms:W3CDTF">2025-01-16T06:05:04Z</dcterms:created>
  <dcterms:modified xsi:type="dcterms:W3CDTF">2025-01-16T07:41:12Z</dcterms:modified>
</cp:coreProperties>
</file>