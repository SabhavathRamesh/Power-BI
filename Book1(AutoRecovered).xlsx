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97a183718cc049/Documents/"/>
    </mc:Choice>
  </mc:AlternateContent>
  <xr:revisionPtr revIDLastSave="1" documentId="8_{9CA5DC89-0ED5-4634-A59D-12F733F77B58}" xr6:coauthVersionLast="47" xr6:coauthVersionMax="47" xr10:uidLastSave="{95347515-CB1C-4C43-9093-49898A5C1BF9}"/>
  <bookViews>
    <workbookView xWindow="-110" yWindow="-110" windowWidth="19420" windowHeight="10420" xr2:uid="{118A4747-64BE-4E50-897C-6EADDFD5E2B0}"/>
  </bookViews>
  <sheets>
    <sheet name="Sheet1" sheetId="1" r:id="rId1"/>
    <sheet name="Number Formatting" sheetId="2" r:id="rId2"/>
    <sheet name="Sheet2" sheetId="3" r:id="rId3"/>
    <sheet name="Sheet3" sheetId="4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3" l="1"/>
  <c r="J18" i="3"/>
  <c r="O9" i="3"/>
  <c r="M8" i="3"/>
  <c r="F40" i="3"/>
  <c r="J8" i="3"/>
  <c r="K8" i="3"/>
  <c r="L10" i="2" l="1"/>
  <c r="L5" i="2"/>
</calcChain>
</file>

<file path=xl/sharedStrings.xml><?xml version="1.0" encoding="utf-8"?>
<sst xmlns="http://schemas.openxmlformats.org/spreadsheetml/2006/main" count="191" uniqueCount="155">
  <si>
    <t>X2</t>
  </si>
  <si>
    <r>
      <t>X</t>
    </r>
    <r>
      <rPr>
        <vertAlign val="superscript"/>
        <sz val="28"/>
        <color theme="1"/>
        <rFont val="Calibri"/>
        <family val="2"/>
        <scheme val="minor"/>
      </rPr>
      <t>3</t>
    </r>
  </si>
  <si>
    <t>FONT&gt; DOWN ARROW&gt;  SUPERSCRIPT WILL RETURN NUMBER AS POWER VALUES</t>
  </si>
  <si>
    <r>
      <t>A</t>
    </r>
    <r>
      <rPr>
        <vertAlign val="superscript"/>
        <sz val="24"/>
        <color theme="1"/>
        <rFont val="Calibri"/>
        <family val="2"/>
        <scheme val="minor"/>
      </rPr>
      <t>B</t>
    </r>
  </si>
  <si>
    <t>General</t>
  </si>
  <si>
    <t>Number</t>
  </si>
  <si>
    <t>Currency</t>
  </si>
  <si>
    <t>Accounting</t>
  </si>
  <si>
    <t>Date</t>
  </si>
  <si>
    <t>Time</t>
  </si>
  <si>
    <t>Percentage</t>
  </si>
  <si>
    <t>Fraction</t>
  </si>
  <si>
    <t>Scientific</t>
  </si>
  <si>
    <t>Text</t>
  </si>
  <si>
    <t>Number Formatting</t>
  </si>
  <si>
    <t>Ranvijay</t>
  </si>
  <si>
    <t>3.20Pm</t>
  </si>
  <si>
    <t>. 34</t>
  </si>
  <si>
    <t>Vijay</t>
  </si>
  <si>
    <t>Emp ID</t>
  </si>
  <si>
    <t>Last Name</t>
  </si>
  <si>
    <t>First Name</t>
  </si>
  <si>
    <t>Dept</t>
  </si>
  <si>
    <t>E-mail</t>
  </si>
  <si>
    <t>Phone Ext</t>
  </si>
  <si>
    <t>Hire Date</t>
  </si>
  <si>
    <t>Pay Rate</t>
  </si>
  <si>
    <t>Smith</t>
  </si>
  <si>
    <t>Howard</t>
  </si>
  <si>
    <t>AT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</si>
  <si>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</si>
  <si>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</si>
  <si>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</si>
  <si>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</si>
  <si>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</si>
  <si>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</si>
  <si>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</si>
  <si>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</si>
  <si>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</si>
  <si>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</si>
  <si>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</si>
  <si>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</si>
  <si>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</si>
  <si>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</si>
  <si>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</si>
  <si>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</si>
  <si>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</si>
  <si>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</si>
  <si>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</si>
  <si>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</si>
  <si>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</si>
  <si>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</si>
  <si>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</si>
  <si>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</si>
  <si>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</si>
  <si>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</si>
  <si>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</si>
  <si>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</si>
  <si>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</si>
  <si>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</si>
  <si>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</si>
  <si>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</si>
  <si>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</si>
  <si>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</si>
  <si>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</si>
  <si>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</si>
  <si>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</si>
  <si>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</si>
  <si>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</si>
  <si>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</si>
  <si>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</si>
  <si>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</si>
  <si>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</si>
  <si>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</si>
  <si>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</si>
  <si>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</si>
  <si>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</si>
  <si>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</si>
  <si>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</si>
  <si>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</si>
  <si>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</si>
  <si>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</si>
  <si>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</si>
  <si>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</si>
  <si>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</si>
  <si>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</si>
  <si>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</si>
  <si>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</si>
  <si>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</si>
  <si>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</si>
  <si>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</si>
  <si>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</si>
  <si>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</si>
  <si>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</si>
  <si>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</si>
  <si>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</si>
  <si>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</si>
  <si>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</si>
  <si>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</si>
  <si>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</si>
  <si>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</si>
  <si>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</si>
  <si>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</si>
  <si>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</si>
  <si>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</si>
  <si>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</si>
  <si>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</si>
  <si>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</si>
  <si>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</si>
  <si>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</si>
  <si>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</si>
  <si>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</si>
  <si>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</si>
  <si>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</si>
  <si>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</si>
  <si>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</si>
  <si>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</si>
  <si>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</si>
  <si>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</si>
  <si>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</si>
  <si>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</si>
  <si>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</si>
  <si>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</si>
  <si>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</si>
  <si>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</si>
  <si>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</si>
  <si>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</si>
  <si>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</si>
  <si>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</si>
  <si>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</si>
  <si>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</si>
  <si>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</si>
  <si>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</si>
  <si>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</si>
  <si>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</si>
  <si>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</si>
  <si>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</si>
  <si>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</si>
  <si>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</si>
  <si>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johnsins</t>
  </si>
  <si>
    <t>Job Data</t>
  </si>
  <si>
    <t>we can use arithmetic opertions using excel tools</t>
  </si>
  <si>
    <t>Home&gt; Editing&gt;</t>
  </si>
  <si>
    <t>sum</t>
  </si>
  <si>
    <t>Average</t>
  </si>
  <si>
    <t>AVERAGE(F:F,I:I)</t>
  </si>
  <si>
    <t>SUM(I:I)</t>
  </si>
  <si>
    <t>Countnumbers</t>
  </si>
  <si>
    <t>count numbers will return  number of itms we select</t>
  </si>
  <si>
    <t>COUNT(F3:F4)</t>
  </si>
  <si>
    <t>COUNT(F:F)</t>
  </si>
  <si>
    <t>Max</t>
  </si>
  <si>
    <t>Min</t>
  </si>
  <si>
    <t xml:space="preserve"> </t>
  </si>
  <si>
    <t>Groups of commands are called as ribbon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</si>
</sst>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₹&quot;\ #,##0.00"/>
    <numFmt numFmtId="165" formatCode="&quot;₹&quot;\ #,##0.00;[Red]&quot;₹&quot;\ #,##0.00"/>
    <numFmt numFmtId="166" formatCode="_-* #,##0.00\ [$₽-419]_-;\-* #,##0.00\ [$₽-419]_-;_-* &quot;-&quot;??\ [$₽-419]_-;_-@_-"/>
    <numFmt numFmtId="167" formatCode="[$-F800]dddd\,\ mmmm\ dd\,\ yyyy"/>
    <numFmt numFmtId="168" formatCode="[$-14009]dddd\,\ d\ mmmm\,\ yyyy;@"/>
    <numFmt numFmtId="169" formatCode="[$-F400]h\.mm\.ss\ AM/PM"/>
    <numFmt numFmtId="170" formatCode="[$-10409]hh\.mm\ AM/PM;@"/>
  </numFmts>
  <fonts count="12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28"/>
      <color theme="1"/>
      <name val="Calibri"/>
      <family val="2"/>
      <scheme val="minor"/>
    </font>
    <font>
      <vertAlign val="superscript"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ndara"/>
      <family val="2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5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0" xfId="0" applyFont="1"/>
    <xf numFmtId="0" fontId="0" fillId="0" borderId="0" xfId="0" applyFill="1" applyBorder="1"/>
    <xf numFmtId="2" fontId="0" fillId="0" borderId="0" xfId="0" applyNumberFormat="1" applyBorder="1"/>
    <xf numFmtId="0" fontId="0" fillId="0" borderId="0" xfId="0" applyNumberFormat="1" applyBorder="1"/>
    <xf numFmtId="164" fontId="0" fillId="0" borderId="0" xfId="0" applyNumberFormat="1" applyBorder="1"/>
    <xf numFmtId="164" fontId="0" fillId="0" borderId="0" xfId="0" applyNumberFormat="1" applyFill="1" applyBorder="1"/>
    <xf numFmtId="165" fontId="0" fillId="0" borderId="0" xfId="0" applyNumberFormat="1" applyBorder="1"/>
    <xf numFmtId="166" fontId="0" fillId="0" borderId="0" xfId="0" applyNumberFormat="1" applyBorder="1"/>
    <xf numFmtId="166" fontId="0" fillId="0" borderId="0" xfId="0" applyNumberFormat="1" applyFill="1" applyBorder="1"/>
    <xf numFmtId="14" fontId="0" fillId="0" borderId="0" xfId="0" applyNumberFormat="1" applyBorder="1"/>
    <xf numFmtId="167" fontId="0" fillId="0" borderId="0" xfId="0" applyNumberFormat="1" applyBorder="1"/>
    <xf numFmtId="0" fontId="6" fillId="2" borderId="0" xfId="0" applyFont="1" applyFill="1" applyBorder="1" applyAlignment="1">
      <alignment horizontal="center"/>
    </xf>
    <xf numFmtId="165" fontId="0" fillId="0" borderId="0" xfId="0" applyNumberFormat="1" applyFill="1" applyBorder="1"/>
    <xf numFmtId="168" fontId="0" fillId="0" borderId="0" xfId="0" applyNumberFormat="1" applyBorder="1"/>
    <xf numFmtId="0" fontId="6" fillId="2" borderId="0" xfId="0" applyNumberFormat="1" applyFont="1" applyFill="1" applyBorder="1" applyAlignment="1">
      <alignment horizontal="center"/>
    </xf>
    <xf numFmtId="169" fontId="0" fillId="0" borderId="0" xfId="0" applyNumberFormat="1" applyBorder="1"/>
    <xf numFmtId="170" fontId="0" fillId="0" borderId="0" xfId="0" applyNumberFormat="1" applyBorder="1"/>
    <xf numFmtId="10" fontId="0" fillId="0" borderId="0" xfId="0" applyNumberFormat="1" applyBorder="1"/>
    <xf numFmtId="12" fontId="6" fillId="2" borderId="0" xfId="0" applyNumberFormat="1" applyFont="1" applyFill="1" applyBorder="1" applyAlignment="1">
      <alignment horizontal="center"/>
    </xf>
    <xf numFmtId="12" fontId="0" fillId="0" borderId="0" xfId="0" applyNumberFormat="1" applyBorder="1"/>
    <xf numFmtId="13" fontId="0" fillId="0" borderId="0" xfId="0" applyNumberFormat="1" applyBorder="1"/>
    <xf numFmtId="11" fontId="0" fillId="0" borderId="0" xfId="0" applyNumberFormat="1" applyBorder="1"/>
    <xf numFmtId="0" fontId="7" fillId="3" borderId="0" xfId="0" applyFont="1" applyFill="1" applyBorder="1" applyAlignment="1">
      <alignment horizontal="center" vertical="center"/>
    </xf>
    <xf numFmtId="0" fontId="9" fillId="0" borderId="0" xfId="1" applyFont="1" applyAlignment="1">
      <alignment horizontal="center"/>
    </xf>
    <xf numFmtId="14" fontId="9" fillId="0" borderId="0" xfId="1" applyNumberFormat="1" applyFont="1" applyAlignment="1">
      <alignment horizontal="center"/>
    </xf>
    <xf numFmtId="2" fontId="0" fillId="0" borderId="0" xfId="0" applyNumberFormat="1"/>
    <xf numFmtId="2" fontId="9" fillId="0" borderId="0" xfId="1" applyNumberFormat="1" applyFont="1" applyAlignment="1">
      <alignment horizontal="center"/>
    </xf>
    <xf numFmtId="0" fontId="9" fillId="0" borderId="0" xfId="1" applyFont="1" applyFill="1" applyAlignment="1">
      <alignment horizontal="center"/>
    </xf>
    <xf numFmtId="0" fontId="11" fillId="4" borderId="0" xfId="0" applyFont="1" applyFill="1" applyBorder="1" applyAlignment="1">
      <alignment horizontal="center"/>
    </xf>
    <xf numFmtId="2" fontId="11" fillId="4" borderId="0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2" fontId="10" fillId="2" borderId="0" xfId="0" applyNumberFormat="1" applyFont="1" applyFill="1" applyAlignment="1">
      <alignment horizontal="center"/>
    </xf>
  </cellXfs>
  <cellStyles count="2">
    <cellStyle name="Normal" xfId="0" builtinId="0"/>
    <cellStyle name="Normal 2" xfId="1" xr:uid="{9EBFD82B-6FE4-451F-9B58-7369E2784B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E0FE-0014-46D6-8504-E8A2810C1B20}">
  <dimension ref="B4:H8"/>
  <sheetViews>
    <sheetView tabSelected="1" workbookViewId="0">
      <selection activeCell="H8" sqref="H8"/>
    </sheetView>
  </sheetViews>
  <sheetFormatPr defaultRowHeight="14.5" x14ac:dyDescent="0.35"/>
  <cols>
    <col min="4" max="4" width="9.6328125" customWidth="1"/>
    <col min="5" max="5" width="8.7265625" customWidth="1"/>
    <col min="6" max="6" width="8.81640625" customWidth="1"/>
    <col min="7" max="7" width="9.26953125" customWidth="1"/>
    <col min="8" max="8" width="9.90625" customWidth="1"/>
    <col min="9" max="9" width="9.453125" customWidth="1"/>
  </cols>
  <sheetData>
    <row r="4" spans="2:8" ht="41" x14ac:dyDescent="0.8">
      <c r="B4" s="1" t="s">
        <v>0</v>
      </c>
      <c r="E4" s="1" t="s">
        <v>1</v>
      </c>
      <c r="F4" t="s">
        <v>2</v>
      </c>
    </row>
    <row r="6" spans="2:8" ht="35" x14ac:dyDescent="0.7">
      <c r="E6" s="3"/>
      <c r="F6" s="3" t="s">
        <v>3</v>
      </c>
    </row>
    <row r="8" spans="2:8" x14ac:dyDescent="0.35">
      <c r="H8" t="s">
        <v>154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93A6-2F34-4D65-AD31-A107FADDA06F}">
  <dimension ref="A2:L18"/>
  <sheetViews>
    <sheetView zoomScaleNormal="100" workbookViewId="0">
      <selection activeCell="M11" sqref="M11"/>
    </sheetView>
  </sheetViews>
  <sheetFormatPr defaultRowHeight="14.5" x14ac:dyDescent="0.35"/>
  <cols>
    <col min="1" max="1" width="8" style="2" bestFit="1" customWidth="1"/>
    <col min="2" max="2" width="8.36328125" style="2" bestFit="1" customWidth="1"/>
    <col min="3" max="3" width="9.81640625" style="6" bestFit="1" customWidth="1"/>
    <col min="4" max="4" width="10.54296875" style="2" bestFit="1" customWidth="1"/>
    <col min="5" max="5" width="23" style="2" bestFit="1" customWidth="1"/>
    <col min="6" max="6" width="11.26953125" style="2" bestFit="1" customWidth="1"/>
    <col min="7" max="7" width="13.54296875" style="2" customWidth="1"/>
    <col min="8" max="8" width="11.81640625" style="2" customWidth="1"/>
    <col min="9" max="9" width="12.1796875" style="2" customWidth="1"/>
    <col min="10" max="10" width="18" style="2" customWidth="1"/>
    <col min="11" max="16384" width="8.7265625" style="2"/>
  </cols>
  <sheetData>
    <row r="2" spans="1:12" ht="23.5" x14ac:dyDescent="0.35">
      <c r="A2" s="25" t="s">
        <v>14</v>
      </c>
      <c r="B2" s="25"/>
      <c r="C2" s="25"/>
      <c r="D2" s="25"/>
      <c r="E2" s="25"/>
      <c r="F2" s="25"/>
      <c r="G2" s="25"/>
      <c r="H2" s="25"/>
      <c r="I2" s="25"/>
      <c r="J2" s="25"/>
    </row>
    <row r="4" spans="1:12" ht="15.5" x14ac:dyDescent="0.35">
      <c r="A4" s="14" t="s">
        <v>4</v>
      </c>
      <c r="B4" s="14" t="s">
        <v>5</v>
      </c>
      <c r="C4" s="17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21" t="s">
        <v>11</v>
      </c>
      <c r="I4" s="14" t="s">
        <v>12</v>
      </c>
      <c r="J4" s="14" t="s">
        <v>13</v>
      </c>
    </row>
    <row r="5" spans="1:12" x14ac:dyDescent="0.35">
      <c r="A5" s="2">
        <v>10</v>
      </c>
      <c r="B5" s="5">
        <v>10</v>
      </c>
      <c r="C5" s="7">
        <v>100</v>
      </c>
      <c r="D5" s="10">
        <v>8999</v>
      </c>
      <c r="E5" s="13">
        <v>45240</v>
      </c>
      <c r="F5" s="18">
        <v>320</v>
      </c>
      <c r="G5" s="20">
        <v>6.78</v>
      </c>
      <c r="H5" s="22">
        <v>44927</v>
      </c>
      <c r="I5" s="24">
        <v>1000</v>
      </c>
      <c r="J5" s="2">
        <v>100</v>
      </c>
      <c r="L5" s="2">
        <f>J5+J6</f>
        <v>300</v>
      </c>
    </row>
    <row r="6" spans="1:12" x14ac:dyDescent="0.35">
      <c r="A6" s="2" t="s">
        <v>15</v>
      </c>
      <c r="B6" s="5">
        <v>35</v>
      </c>
      <c r="C6" s="7">
        <v>200</v>
      </c>
      <c r="D6" s="10">
        <v>8998</v>
      </c>
      <c r="E6" s="12">
        <v>45432</v>
      </c>
      <c r="F6" s="2" t="s">
        <v>16</v>
      </c>
      <c r="G6" s="20">
        <v>7.68</v>
      </c>
      <c r="H6" s="22">
        <v>65</v>
      </c>
      <c r="I6" s="24">
        <v>2345</v>
      </c>
      <c r="J6" s="2">
        <v>200</v>
      </c>
    </row>
    <row r="7" spans="1:12" x14ac:dyDescent="0.35">
      <c r="B7" s="5">
        <v>25</v>
      </c>
      <c r="C7" s="7">
        <v>355</v>
      </c>
      <c r="D7" s="10">
        <v>897</v>
      </c>
      <c r="F7" s="19">
        <v>230</v>
      </c>
      <c r="G7" s="20">
        <v>0.89</v>
      </c>
      <c r="H7" s="22">
        <v>768</v>
      </c>
      <c r="I7" s="24"/>
    </row>
    <row r="8" spans="1:12" x14ac:dyDescent="0.35">
      <c r="C8" s="8">
        <v>-444</v>
      </c>
      <c r="D8" s="11">
        <v>786</v>
      </c>
      <c r="E8" s="16">
        <v>46560</v>
      </c>
      <c r="F8" s="18">
        <v>90000</v>
      </c>
      <c r="G8" s="20">
        <v>8.99</v>
      </c>
      <c r="H8" s="23">
        <v>768</v>
      </c>
      <c r="I8" s="24">
        <v>456</v>
      </c>
      <c r="J8" s="2" t="s">
        <v>18</v>
      </c>
    </row>
    <row r="9" spans="1:12" x14ac:dyDescent="0.35">
      <c r="C9" s="8">
        <v>546</v>
      </c>
      <c r="E9" s="16">
        <v>46561</v>
      </c>
      <c r="G9" s="20"/>
      <c r="H9" s="22">
        <v>7</v>
      </c>
      <c r="I9" s="24">
        <v>645</v>
      </c>
    </row>
    <row r="10" spans="1:12" x14ac:dyDescent="0.35">
      <c r="C10" s="7"/>
      <c r="F10" s="19">
        <v>45876</v>
      </c>
      <c r="G10" s="20"/>
      <c r="H10" s="22">
        <v>0.56000000000000005</v>
      </c>
      <c r="I10" s="24"/>
      <c r="J10" s="2">
        <v>57</v>
      </c>
      <c r="L10" s="2">
        <f>SUM(J10:J13)</f>
        <v>249</v>
      </c>
    </row>
    <row r="11" spans="1:12" x14ac:dyDescent="0.35">
      <c r="C11" s="9">
        <v>900</v>
      </c>
      <c r="G11" s="20"/>
      <c r="H11" s="22" t="s">
        <v>17</v>
      </c>
      <c r="I11" s="24">
        <v>1689</v>
      </c>
      <c r="J11" s="2">
        <v>57</v>
      </c>
    </row>
    <row r="12" spans="1:12" x14ac:dyDescent="0.35">
      <c r="C12" s="9">
        <v>-988</v>
      </c>
      <c r="G12" s="20"/>
      <c r="H12" s="22">
        <v>0.67</v>
      </c>
      <c r="I12" s="24"/>
      <c r="J12" s="2">
        <v>79</v>
      </c>
    </row>
    <row r="13" spans="1:12" x14ac:dyDescent="0.35">
      <c r="C13" s="15">
        <v>877</v>
      </c>
      <c r="G13" s="20"/>
      <c r="H13" s="22"/>
      <c r="I13" s="24"/>
      <c r="J13" s="4">
        <v>56</v>
      </c>
    </row>
    <row r="14" spans="1:12" x14ac:dyDescent="0.35">
      <c r="G14" s="20"/>
      <c r="I14" s="24"/>
    </row>
    <row r="15" spans="1:12" x14ac:dyDescent="0.35">
      <c r="G15" s="20"/>
      <c r="I15" s="24"/>
    </row>
    <row r="16" spans="1:12" x14ac:dyDescent="0.35">
      <c r="I16" s="24"/>
    </row>
    <row r="17" spans="9:9" x14ac:dyDescent="0.35">
      <c r="I17" s="24"/>
    </row>
    <row r="18" spans="9:9" x14ac:dyDescent="0.35">
      <c r="I18" s="24"/>
    </row>
  </sheetData>
  <mergeCells count="1">
    <mergeCell ref="A2:J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D7E3-B6CD-4AFB-B1CD-307FDD3E9A90}">
  <dimension ref="A1:O40"/>
  <sheetViews>
    <sheetView zoomScale="80" zoomScaleNormal="80" workbookViewId="0">
      <selection activeCell="M16" sqref="M16"/>
    </sheetView>
  </sheetViews>
  <sheetFormatPr defaultRowHeight="14.5" x14ac:dyDescent="0.35"/>
  <cols>
    <col min="1" max="7" width="12.1796875" customWidth="1"/>
    <col min="8" max="8" width="12.1796875" style="28" customWidth="1"/>
  </cols>
  <sheetData>
    <row r="1" spans="1:15" ht="18.5" x14ac:dyDescent="0.45">
      <c r="A1" s="31"/>
      <c r="B1" s="31"/>
      <c r="C1" s="31"/>
      <c r="D1" s="31" t="s">
        <v>140</v>
      </c>
      <c r="E1" s="31"/>
      <c r="F1" s="31"/>
      <c r="G1" s="31"/>
      <c r="H1" s="32"/>
    </row>
    <row r="2" spans="1:15" ht="15.5" x14ac:dyDescent="0.35">
      <c r="A2" s="33" t="s">
        <v>19</v>
      </c>
      <c r="B2" s="33" t="s">
        <v>20</v>
      </c>
      <c r="C2" s="33" t="s">
        <v>21</v>
      </c>
      <c r="D2" s="33" t="s">
        <v>22</v>
      </c>
      <c r="E2" s="33" t="s">
        <v>23</v>
      </c>
      <c r="F2" s="33" t="s">
        <v>24</v>
      </c>
      <c r="G2" s="33" t="s">
        <v>25</v>
      </c>
      <c r="H2" s="34" t="s">
        <v>26</v>
      </c>
    </row>
    <row r="3" spans="1:15" ht="15.5" x14ac:dyDescent="0.35">
      <c r="A3" s="26">
        <v>1054</v>
      </c>
      <c r="B3" s="26" t="s">
        <v>27</v>
      </c>
      <c r="C3" s="26" t="s">
        <v>28</v>
      </c>
      <c r="D3" s="26" t="s">
        <v>29</v>
      </c>
      <c r="E3" s="26" t="s">
        <v>32</v>
      </c>
      <c r="F3" s="26">
        <v>148</v>
      </c>
      <c r="G3" s="27">
        <v>41742</v>
      </c>
      <c r="H3" s="29">
        <v>23.112682518640405</v>
      </c>
      <c r="J3" t="s">
        <v>141</v>
      </c>
    </row>
    <row r="4" spans="1:15" ht="15.5" x14ac:dyDescent="0.35">
      <c r="A4" s="26">
        <v>1056</v>
      </c>
      <c r="B4" s="26" t="s">
        <v>30</v>
      </c>
      <c r="C4" s="26" t="s">
        <v>31</v>
      </c>
      <c r="D4" s="26" t="s">
        <v>29</v>
      </c>
      <c r="E4" s="30" t="s">
        <v>139</v>
      </c>
      <c r="F4" s="26">
        <v>121</v>
      </c>
      <c r="G4" s="27">
        <v>37551</v>
      </c>
      <c r="H4" s="29">
        <v>34.525388617350792</v>
      </c>
      <c r="J4" t="s">
        <v>142</v>
      </c>
    </row>
    <row r="5" spans="1:15" ht="15.5" x14ac:dyDescent="0.35">
      <c r="A5" s="26">
        <v>1067</v>
      </c>
      <c r="B5" s="26" t="s">
        <v>33</v>
      </c>
      <c r="C5" s="26" t="s">
        <v>34</v>
      </c>
      <c r="D5" s="26" t="s">
        <v>29</v>
      </c>
      <c r="E5" s="26" t="s">
        <v>35</v>
      </c>
      <c r="F5" s="26">
        <v>123</v>
      </c>
      <c r="G5" s="27">
        <v>40438</v>
      </c>
      <c r="H5" s="29">
        <v>22.187984645409315</v>
      </c>
    </row>
    <row r="6" spans="1:15" ht="15.5" x14ac:dyDescent="0.35">
      <c r="A6" s="26">
        <v>1075</v>
      </c>
      <c r="B6" s="26" t="s">
        <v>36</v>
      </c>
      <c r="C6" s="26" t="s">
        <v>37</v>
      </c>
      <c r="D6" s="26" t="s">
        <v>38</v>
      </c>
      <c r="E6" s="26" t="s">
        <v>39</v>
      </c>
      <c r="F6" s="26">
        <v>126</v>
      </c>
      <c r="G6" s="27">
        <v>42221</v>
      </c>
      <c r="H6" s="29">
        <v>22.650786708090671</v>
      </c>
      <c r="J6" t="s">
        <v>143</v>
      </c>
      <c r="K6" t="s">
        <v>144</v>
      </c>
      <c r="M6" t="s">
        <v>147</v>
      </c>
    </row>
    <row r="7" spans="1:15" ht="15.5" x14ac:dyDescent="0.35">
      <c r="A7" s="26">
        <v>1078</v>
      </c>
      <c r="B7" s="26" t="s">
        <v>40</v>
      </c>
      <c r="C7" s="26" t="s">
        <v>41</v>
      </c>
      <c r="D7" s="26" t="s">
        <v>42</v>
      </c>
      <c r="E7" s="26" t="s">
        <v>43</v>
      </c>
      <c r="F7" s="26">
        <v>101</v>
      </c>
      <c r="G7" s="27">
        <v>39901</v>
      </c>
      <c r="H7" s="29">
        <v>35.093078297663361</v>
      </c>
      <c r="M7" t="s">
        <v>148</v>
      </c>
    </row>
    <row r="8" spans="1:15" ht="15.5" x14ac:dyDescent="0.35">
      <c r="A8" s="26">
        <v>1152</v>
      </c>
      <c r="B8" s="26" t="s">
        <v>44</v>
      </c>
      <c r="C8" s="26" t="s">
        <v>45</v>
      </c>
      <c r="D8" s="26" t="s">
        <v>38</v>
      </c>
      <c r="E8" s="26" t="s">
        <v>46</v>
      </c>
      <c r="F8" s="26">
        <v>118</v>
      </c>
      <c r="G8" s="27">
        <v>41292</v>
      </c>
      <c r="H8" s="29">
        <v>20.450480626241173</v>
      </c>
      <c r="J8" s="28">
        <f>SUM(H:H)</f>
        <v>1010.3006143821677</v>
      </c>
      <c r="K8" s="28">
        <f>AVERAGE(F:F,H:H)</f>
        <v>88.070674858428902</v>
      </c>
      <c r="M8">
        <f>COUNT(F3:F4)</f>
        <v>2</v>
      </c>
    </row>
    <row r="9" spans="1:15" ht="15.5" x14ac:dyDescent="0.35">
      <c r="A9" s="26">
        <v>1196</v>
      </c>
      <c r="B9" s="26" t="s">
        <v>47</v>
      </c>
      <c r="C9" s="26" t="s">
        <v>48</v>
      </c>
      <c r="D9" s="26" t="s">
        <v>49</v>
      </c>
      <c r="E9" s="26" t="s">
        <v>50</v>
      </c>
      <c r="F9" s="26">
        <v>289</v>
      </c>
      <c r="G9" s="27">
        <v>44284</v>
      </c>
      <c r="H9" s="29">
        <v>21.116426350677912</v>
      </c>
      <c r="O9">
        <f>COUNT(F:F)</f>
        <v>38</v>
      </c>
    </row>
    <row r="10" spans="1:15" ht="15.5" x14ac:dyDescent="0.35">
      <c r="A10" s="26">
        <v>1284</v>
      </c>
      <c r="B10" s="26" t="s">
        <v>51</v>
      </c>
      <c r="C10" s="26" t="s">
        <v>52</v>
      </c>
      <c r="D10" s="26" t="s">
        <v>53</v>
      </c>
      <c r="E10" s="26" t="s">
        <v>54</v>
      </c>
      <c r="F10" s="26">
        <v>124</v>
      </c>
      <c r="G10" s="27">
        <v>39449</v>
      </c>
      <c r="H10" s="29">
        <v>31.521433991091691</v>
      </c>
      <c r="J10" t="s">
        <v>146</v>
      </c>
      <c r="K10" t="s">
        <v>145</v>
      </c>
    </row>
    <row r="11" spans="1:15" ht="15.5" x14ac:dyDescent="0.35">
      <c r="A11" s="26">
        <v>1290</v>
      </c>
      <c r="B11" s="26" t="s">
        <v>55</v>
      </c>
      <c r="C11" s="26" t="s">
        <v>56</v>
      </c>
      <c r="D11" s="26" t="s">
        <v>38</v>
      </c>
      <c r="E11" s="26" t="s">
        <v>57</v>
      </c>
      <c r="F11" s="26">
        <v>113</v>
      </c>
      <c r="G11" s="27">
        <v>39448</v>
      </c>
      <c r="H11" s="29">
        <v>26.263290691845491</v>
      </c>
      <c r="M11" t="s">
        <v>149</v>
      </c>
      <c r="O11" t="s">
        <v>150</v>
      </c>
    </row>
    <row r="12" spans="1:15" ht="15.5" x14ac:dyDescent="0.35">
      <c r="A12" s="26">
        <v>1293</v>
      </c>
      <c r="B12" s="26" t="s">
        <v>58</v>
      </c>
      <c r="C12" s="26" t="s">
        <v>59</v>
      </c>
      <c r="D12" s="26" t="s">
        <v>49</v>
      </c>
      <c r="E12" s="26" t="s">
        <v>60</v>
      </c>
      <c r="F12" s="26">
        <v>205</v>
      </c>
      <c r="G12" s="27">
        <v>39337</v>
      </c>
      <c r="H12" s="29">
        <v>34.790615088923452</v>
      </c>
    </row>
    <row r="13" spans="1:15" ht="15.5" x14ac:dyDescent="0.35">
      <c r="A13" s="26">
        <v>1299</v>
      </c>
      <c r="B13" s="26" t="s">
        <v>61</v>
      </c>
      <c r="C13" s="26" t="s">
        <v>62</v>
      </c>
      <c r="D13" s="26" t="s">
        <v>63</v>
      </c>
      <c r="E13" s="26" t="s">
        <v>64</v>
      </c>
      <c r="F13" s="26">
        <v>127</v>
      </c>
      <c r="G13" s="27">
        <v>41261</v>
      </c>
      <c r="H13" s="29">
        <v>36.358152121831047</v>
      </c>
    </row>
    <row r="14" spans="1:15" ht="15.5" x14ac:dyDescent="0.35">
      <c r="A14" s="26">
        <v>1302</v>
      </c>
      <c r="B14" s="26" t="s">
        <v>65</v>
      </c>
      <c r="C14" s="26" t="s">
        <v>66</v>
      </c>
      <c r="D14" s="26" t="s">
        <v>53</v>
      </c>
      <c r="E14" s="26" t="s">
        <v>67</v>
      </c>
      <c r="F14" s="26">
        <v>139</v>
      </c>
      <c r="G14" s="27">
        <v>39298</v>
      </c>
      <c r="H14" s="29">
        <v>31.941259411760427</v>
      </c>
    </row>
    <row r="15" spans="1:15" ht="15.5" x14ac:dyDescent="0.35">
      <c r="A15" s="26">
        <v>1310</v>
      </c>
      <c r="B15" s="26" t="s">
        <v>27</v>
      </c>
      <c r="C15" s="26" t="s">
        <v>68</v>
      </c>
      <c r="D15" s="26" t="s">
        <v>63</v>
      </c>
      <c r="E15" s="26" t="s">
        <v>69</v>
      </c>
      <c r="F15" s="26">
        <v>137</v>
      </c>
      <c r="G15" s="27">
        <v>40087</v>
      </c>
      <c r="H15" s="29">
        <v>27.748133280634171</v>
      </c>
      <c r="J15" t="s">
        <v>151</v>
      </c>
      <c r="K15" t="s">
        <v>152</v>
      </c>
      <c r="M15" t="s">
        <v>153</v>
      </c>
    </row>
    <row r="16" spans="1:15" ht="15.5" x14ac:dyDescent="0.35">
      <c r="A16" s="26">
        <v>1329</v>
      </c>
      <c r="B16" s="26" t="s">
        <v>70</v>
      </c>
      <c r="C16" s="26" t="s">
        <v>71</v>
      </c>
      <c r="D16" s="26" t="s">
        <v>42</v>
      </c>
      <c r="E16" s="26" t="s">
        <v>72</v>
      </c>
      <c r="F16" s="26">
        <v>151</v>
      </c>
      <c r="G16" s="27">
        <v>40959</v>
      </c>
      <c r="H16" s="29">
        <v>30.059453552217725</v>
      </c>
    </row>
    <row r="17" spans="1:13" ht="15.5" x14ac:dyDescent="0.35">
      <c r="A17" s="26">
        <v>1333</v>
      </c>
      <c r="B17" s="26" t="s">
        <v>73</v>
      </c>
      <c r="C17" s="26" t="s">
        <v>74</v>
      </c>
      <c r="D17" s="26" t="s">
        <v>49</v>
      </c>
      <c r="E17" s="26" t="s">
        <v>75</v>
      </c>
      <c r="F17" s="26">
        <v>122</v>
      </c>
      <c r="G17" s="27">
        <v>41377</v>
      </c>
      <c r="H17" s="29">
        <v>28.040146247387376</v>
      </c>
      <c r="K17" s="28">
        <f>MIN(H3:H11)</f>
        <v>20.450480626241173</v>
      </c>
    </row>
    <row r="18" spans="1:13" ht="15.5" x14ac:dyDescent="0.35">
      <c r="A18" s="26">
        <v>1368</v>
      </c>
      <c r="B18" s="26" t="s">
        <v>76</v>
      </c>
      <c r="C18" s="26" t="s">
        <v>77</v>
      </c>
      <c r="D18" s="26" t="s">
        <v>38</v>
      </c>
      <c r="E18" s="26" t="s">
        <v>78</v>
      </c>
      <c r="F18" s="26">
        <v>132</v>
      </c>
      <c r="G18" s="27">
        <v>38784</v>
      </c>
      <c r="H18" s="29">
        <v>21.582316808537904</v>
      </c>
      <c r="J18" s="28">
        <f>MAX(H3:H9)</f>
        <v>35.093078297663361</v>
      </c>
      <c r="M18" t="s">
        <v>153</v>
      </c>
    </row>
    <row r="19" spans="1:13" ht="15.5" x14ac:dyDescent="0.35">
      <c r="A19" s="26">
        <v>1509</v>
      </c>
      <c r="B19" s="26" t="s">
        <v>79</v>
      </c>
      <c r="C19" s="26" t="s">
        <v>80</v>
      </c>
      <c r="D19" s="26" t="s">
        <v>29</v>
      </c>
      <c r="E19" s="26" t="s">
        <v>81</v>
      </c>
      <c r="F19" s="26">
        <v>135</v>
      </c>
      <c r="G19" s="27">
        <v>39615</v>
      </c>
      <c r="H19" s="29">
        <v>28.504920646844454</v>
      </c>
    </row>
    <row r="20" spans="1:13" ht="15.5" x14ac:dyDescent="0.35">
      <c r="A20" s="26">
        <v>1516</v>
      </c>
      <c r="B20" s="26" t="s">
        <v>82</v>
      </c>
      <c r="C20" s="26" t="s">
        <v>83</v>
      </c>
      <c r="D20" s="26" t="s">
        <v>42</v>
      </c>
      <c r="E20" s="26" t="s">
        <v>84</v>
      </c>
      <c r="F20" s="26">
        <v>105</v>
      </c>
      <c r="G20" s="27">
        <v>39510</v>
      </c>
      <c r="H20" s="29">
        <v>25.041609972404515</v>
      </c>
    </row>
    <row r="21" spans="1:13" ht="15.5" x14ac:dyDescent="0.35">
      <c r="A21" s="26">
        <v>1529</v>
      </c>
      <c r="B21" s="26" t="s">
        <v>85</v>
      </c>
      <c r="C21" s="26" t="s">
        <v>86</v>
      </c>
      <c r="D21" s="26" t="s">
        <v>53</v>
      </c>
      <c r="E21" s="26" t="s">
        <v>87</v>
      </c>
      <c r="F21" s="26">
        <v>129</v>
      </c>
      <c r="G21" s="27">
        <v>40203</v>
      </c>
      <c r="H21" s="29">
        <v>36.76047319596379</v>
      </c>
    </row>
    <row r="22" spans="1:13" ht="15.5" x14ac:dyDescent="0.35">
      <c r="A22" s="26">
        <v>1656</v>
      </c>
      <c r="B22" s="26" t="s">
        <v>88</v>
      </c>
      <c r="C22" s="26" t="s">
        <v>89</v>
      </c>
      <c r="D22" s="26" t="s">
        <v>63</v>
      </c>
      <c r="E22" s="26" t="s">
        <v>90</v>
      </c>
      <c r="F22" s="26">
        <v>149</v>
      </c>
      <c r="G22" s="27">
        <v>40523</v>
      </c>
      <c r="H22" s="29">
        <v>34.594860632050001</v>
      </c>
    </row>
    <row r="23" spans="1:13" ht="15.5" x14ac:dyDescent="0.35">
      <c r="A23" s="26">
        <v>1672</v>
      </c>
      <c r="B23" s="26" t="s">
        <v>91</v>
      </c>
      <c r="C23" s="26" t="s">
        <v>92</v>
      </c>
      <c r="D23" s="26" t="s">
        <v>63</v>
      </c>
      <c r="E23" s="26" t="s">
        <v>93</v>
      </c>
      <c r="F23" s="26">
        <v>114</v>
      </c>
      <c r="G23" s="27">
        <v>41377</v>
      </c>
      <c r="H23" s="29">
        <v>21.821067915080782</v>
      </c>
    </row>
    <row r="24" spans="1:13" ht="15.5" x14ac:dyDescent="0.35">
      <c r="A24" s="26">
        <v>1673</v>
      </c>
      <c r="B24" s="26" t="s">
        <v>94</v>
      </c>
      <c r="C24" s="26" t="s">
        <v>52</v>
      </c>
      <c r="D24" s="26" t="s">
        <v>38</v>
      </c>
      <c r="E24" s="26" t="s">
        <v>95</v>
      </c>
      <c r="F24" s="26">
        <v>112</v>
      </c>
      <c r="G24" s="27">
        <v>42086</v>
      </c>
      <c r="H24" s="29">
        <v>34.737713847797657</v>
      </c>
    </row>
    <row r="25" spans="1:13" ht="15.5" x14ac:dyDescent="0.35">
      <c r="A25" s="26">
        <v>1676</v>
      </c>
      <c r="B25" s="26" t="s">
        <v>96</v>
      </c>
      <c r="C25" s="26" t="s">
        <v>97</v>
      </c>
      <c r="D25" s="26" t="s">
        <v>53</v>
      </c>
      <c r="E25" s="26" t="s">
        <v>98</v>
      </c>
      <c r="F25" s="26">
        <v>115</v>
      </c>
      <c r="G25" s="27">
        <v>38283</v>
      </c>
      <c r="H25" s="29">
        <v>23.923732649470132</v>
      </c>
    </row>
    <row r="26" spans="1:13" ht="15.5" x14ac:dyDescent="0.35">
      <c r="A26" s="26">
        <v>1721</v>
      </c>
      <c r="B26" s="26" t="s">
        <v>99</v>
      </c>
      <c r="C26" s="26" t="s">
        <v>100</v>
      </c>
      <c r="D26" s="26" t="s">
        <v>49</v>
      </c>
      <c r="E26" s="26" t="s">
        <v>101</v>
      </c>
      <c r="F26" s="26">
        <v>102</v>
      </c>
      <c r="G26" s="27">
        <v>41489</v>
      </c>
      <c r="H26" s="29">
        <v>30.530481883132325</v>
      </c>
    </row>
    <row r="27" spans="1:13" ht="15.5" x14ac:dyDescent="0.35">
      <c r="A27" s="26">
        <v>1723</v>
      </c>
      <c r="B27" s="26" t="s">
        <v>102</v>
      </c>
      <c r="C27" s="26" t="s">
        <v>45</v>
      </c>
      <c r="D27" s="26" t="s">
        <v>53</v>
      </c>
      <c r="E27" s="26" t="s">
        <v>103</v>
      </c>
      <c r="F27" s="26">
        <v>145</v>
      </c>
      <c r="G27" s="27">
        <v>36929</v>
      </c>
      <c r="H27" s="29">
        <v>30.633823369091417</v>
      </c>
    </row>
    <row r="28" spans="1:13" ht="15.5" x14ac:dyDescent="0.35">
      <c r="A28" s="26">
        <v>1758</v>
      </c>
      <c r="B28" s="26" t="s">
        <v>104</v>
      </c>
      <c r="C28" s="26" t="s">
        <v>105</v>
      </c>
      <c r="D28" s="26" t="s">
        <v>42</v>
      </c>
      <c r="E28" s="26" t="s">
        <v>106</v>
      </c>
      <c r="F28" s="26">
        <v>107</v>
      </c>
      <c r="G28" s="27">
        <v>38426</v>
      </c>
      <c r="H28" s="29">
        <v>23.323201962374185</v>
      </c>
    </row>
    <row r="29" spans="1:13" ht="15.5" x14ac:dyDescent="0.35">
      <c r="A29" s="26">
        <v>1792</v>
      </c>
      <c r="B29" s="26" t="s">
        <v>107</v>
      </c>
      <c r="C29" s="26" t="s">
        <v>108</v>
      </c>
      <c r="D29" s="26" t="s">
        <v>29</v>
      </c>
      <c r="E29" s="26" t="s">
        <v>109</v>
      </c>
      <c r="F29" s="26">
        <v>111</v>
      </c>
      <c r="G29" s="27">
        <v>41629</v>
      </c>
      <c r="H29" s="29">
        <v>22.865282515192384</v>
      </c>
    </row>
    <row r="30" spans="1:13" ht="15.5" x14ac:dyDescent="0.35">
      <c r="A30" s="26">
        <v>1814</v>
      </c>
      <c r="B30" s="26" t="s">
        <v>110</v>
      </c>
      <c r="C30" s="26" t="s">
        <v>111</v>
      </c>
      <c r="D30" s="26" t="s">
        <v>49</v>
      </c>
      <c r="E30" s="26" t="s">
        <v>112</v>
      </c>
      <c r="F30" s="26">
        <v>103</v>
      </c>
      <c r="G30" s="27">
        <v>40969</v>
      </c>
      <c r="H30" s="29">
        <v>28.314886343881007</v>
      </c>
    </row>
    <row r="31" spans="1:13" ht="15.5" x14ac:dyDescent="0.35">
      <c r="A31" s="26">
        <v>1908</v>
      </c>
      <c r="B31" s="26" t="s">
        <v>113</v>
      </c>
      <c r="C31" s="26" t="s">
        <v>114</v>
      </c>
      <c r="D31" s="26" t="s">
        <v>29</v>
      </c>
      <c r="E31" s="26" t="s">
        <v>115</v>
      </c>
      <c r="F31" s="26">
        <v>152</v>
      </c>
      <c r="G31" s="27">
        <v>39215</v>
      </c>
      <c r="H31" s="29">
        <v>21.583297549698294</v>
      </c>
    </row>
    <row r="32" spans="1:13" ht="15.5" x14ac:dyDescent="0.35">
      <c r="A32" s="26">
        <v>1931</v>
      </c>
      <c r="B32" s="26" t="s">
        <v>116</v>
      </c>
      <c r="C32" s="26" t="s">
        <v>117</v>
      </c>
      <c r="D32" s="26" t="s">
        <v>42</v>
      </c>
      <c r="E32" s="26" t="s">
        <v>118</v>
      </c>
      <c r="F32" s="26">
        <v>110</v>
      </c>
      <c r="G32" s="27">
        <v>41077</v>
      </c>
      <c r="H32" s="29">
        <v>22.096372011411539</v>
      </c>
    </row>
    <row r="33" spans="1:8" ht="15.5" x14ac:dyDescent="0.35">
      <c r="A33" s="26">
        <v>1960</v>
      </c>
      <c r="B33" s="26" t="s">
        <v>119</v>
      </c>
      <c r="C33" s="26" t="s">
        <v>120</v>
      </c>
      <c r="D33" s="26" t="s">
        <v>63</v>
      </c>
      <c r="E33" s="26" t="s">
        <v>121</v>
      </c>
      <c r="F33" s="26">
        <v>150</v>
      </c>
      <c r="G33" s="27">
        <v>40127</v>
      </c>
      <c r="H33" s="29">
        <v>24.110587484316248</v>
      </c>
    </row>
    <row r="34" spans="1:8" ht="15.5" x14ac:dyDescent="0.35">
      <c r="A34" s="26">
        <v>1964</v>
      </c>
      <c r="B34" s="26" t="s">
        <v>122</v>
      </c>
      <c r="C34" s="26" t="s">
        <v>123</v>
      </c>
      <c r="D34" s="26" t="s">
        <v>42</v>
      </c>
      <c r="E34" s="26" t="s">
        <v>124</v>
      </c>
      <c r="F34" s="26">
        <v>108</v>
      </c>
      <c r="G34" s="27">
        <v>41957</v>
      </c>
      <c r="H34" s="29">
        <v>32.746626443985036</v>
      </c>
    </row>
    <row r="35" spans="1:8" ht="15.5" x14ac:dyDescent="0.35">
      <c r="A35" s="26">
        <v>1975</v>
      </c>
      <c r="B35" s="26" t="s">
        <v>125</v>
      </c>
      <c r="C35" s="26" t="s">
        <v>126</v>
      </c>
      <c r="D35" s="26" t="s">
        <v>42</v>
      </c>
      <c r="E35" s="26" t="s">
        <v>127</v>
      </c>
      <c r="F35" s="26">
        <v>125</v>
      </c>
      <c r="G35" s="27">
        <v>43523</v>
      </c>
      <c r="H35" s="29">
        <v>20.224401476642818</v>
      </c>
    </row>
    <row r="36" spans="1:8" ht="15.5" x14ac:dyDescent="0.35">
      <c r="A36" s="26">
        <v>1983</v>
      </c>
      <c r="B36" s="26" t="s">
        <v>122</v>
      </c>
      <c r="C36" s="26" t="s">
        <v>128</v>
      </c>
      <c r="D36" s="26" t="s">
        <v>29</v>
      </c>
      <c r="E36" s="26" t="s">
        <v>129</v>
      </c>
      <c r="F36" s="26">
        <v>154</v>
      </c>
      <c r="G36" s="27">
        <v>44007</v>
      </c>
      <c r="H36" s="29">
        <v>26.320559271906468</v>
      </c>
    </row>
    <row r="37" spans="1:8" ht="15.5" x14ac:dyDescent="0.35">
      <c r="A37" s="26">
        <v>1990</v>
      </c>
      <c r="B37" s="26" t="s">
        <v>130</v>
      </c>
      <c r="C37" s="26" t="s">
        <v>131</v>
      </c>
      <c r="D37" s="26" t="s">
        <v>63</v>
      </c>
      <c r="E37" s="26" t="s">
        <v>132</v>
      </c>
      <c r="F37" s="26">
        <v>198</v>
      </c>
      <c r="G37" s="27">
        <v>44238</v>
      </c>
      <c r="H37" s="29">
        <v>27.176260395039776</v>
      </c>
    </row>
    <row r="38" spans="1:8" ht="15.5" x14ac:dyDescent="0.35">
      <c r="A38" s="26">
        <v>1995</v>
      </c>
      <c r="B38" s="26" t="s">
        <v>133</v>
      </c>
      <c r="C38" s="26" t="s">
        <v>134</v>
      </c>
      <c r="D38" s="26" t="s">
        <v>29</v>
      </c>
      <c r="E38" s="26" t="s">
        <v>135</v>
      </c>
      <c r="F38" s="26">
        <v>198</v>
      </c>
      <c r="G38" s="27">
        <v>44253</v>
      </c>
      <c r="H38" s="29">
        <v>27.273205533671039</v>
      </c>
    </row>
    <row r="39" spans="1:8" ht="15.5" x14ac:dyDescent="0.35">
      <c r="A39" s="26">
        <v>1999</v>
      </c>
      <c r="B39" s="26" t="s">
        <v>136</v>
      </c>
      <c r="C39" s="26" t="s">
        <v>137</v>
      </c>
      <c r="D39" s="26" t="s">
        <v>49</v>
      </c>
      <c r="E39" s="26" t="s">
        <v>138</v>
      </c>
      <c r="F39" s="26">
        <v>428</v>
      </c>
      <c r="G39" s="27">
        <v>44379</v>
      </c>
      <c r="H39" s="29">
        <v>20.275620323911021</v>
      </c>
    </row>
    <row r="40" spans="1:8" x14ac:dyDescent="0.35">
      <c r="F40">
        <f>SUM(F3:F4)</f>
        <v>269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1E6F-F944-4ED1-AF3D-3CC1738A080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8523-D7E4-4C5B-8474-B098D33C129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Number Formatting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Ranvijay Chauhan</dc:creator>
  <cp:lastModifiedBy>Ranvijay Chauhan</cp:lastModifiedBy>
  <dcterms:created xsi:type="dcterms:W3CDTF">2025-07-17T08:57:35Z</dcterms:created>
  <dcterms:modified xsi:type="dcterms:W3CDTF">2025-07-18T11:03:39Z</dcterms:modified>
</cp:coreProperties>
</file>